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f Modling\"/>
    </mc:Choice>
  </mc:AlternateContent>
  <xr:revisionPtr revIDLastSave="0" documentId="13_ncr:1_{C19DAFDC-4015-4FDA-BB45-4660128DD48E}" xr6:coauthVersionLast="47" xr6:coauthVersionMax="47" xr10:uidLastSave="{00000000-0000-0000-0000-000000000000}"/>
  <bookViews>
    <workbookView xWindow="-108" yWindow="-108" windowWidth="23256" windowHeight="12456" firstSheet="2" activeTab="3" xr2:uid="{2515F0A4-E5ED-4548-81CD-11931C5CA17E}"/>
  </bookViews>
  <sheets>
    <sheet name="comps -raw" sheetId="1" r:id="rId1"/>
    <sheet name="dccf" sheetId="2" r:id="rId2"/>
    <sheet name="market return" sheetId="9" r:id="rId3"/>
    <sheet name="sp j corporation" sheetId="3" r:id="rId4"/>
    <sheet name="Guru BETA" sheetId="8" r:id="rId5"/>
    <sheet name="Mishka Exim Ltd" sheetId="7" r:id="rId6"/>
    <sheet name="Moksh BETA" sheetId="6" r:id="rId7"/>
    <sheet name="beta sj corpoation" sheetId="4" r:id="rId8"/>
    <sheet name="Narbada beta" sheetId="5" r:id="rId9"/>
  </sheets>
  <definedNames>
    <definedName name="_xlnm.Print_Area" localSheetId="1">dccf!$A$1:$P$52</definedName>
    <definedName name="_xlnm.Print_Titles" localSheetId="1">dccf!$1:$14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2" l="1"/>
  <c r="K31" i="2"/>
  <c r="K30" i="2"/>
  <c r="F39" i="2"/>
  <c r="F38" i="2"/>
  <c r="F43" i="2"/>
  <c r="K38" i="2" s="1"/>
  <c r="H10" i="9"/>
  <c r="U10" i="9"/>
  <c r="U12" i="9" s="1"/>
  <c r="K39" i="2"/>
  <c r="E43" i="2"/>
  <c r="K37" i="2"/>
  <c r="E39" i="2"/>
  <c r="D39" i="2"/>
  <c r="E38" i="2"/>
  <c r="F29" i="2"/>
  <c r="G10" i="9"/>
  <c r="G12" i="9"/>
  <c r="J19" i="2" l="1"/>
  <c r="K15" i="8"/>
  <c r="K21" i="8"/>
  <c r="H120" i="8"/>
  <c r="D120" i="8"/>
  <c r="H119" i="8"/>
  <c r="D119" i="8"/>
  <c r="H118" i="8"/>
  <c r="D118" i="8"/>
  <c r="H117" i="8"/>
  <c r="D117" i="8"/>
  <c r="H116" i="8"/>
  <c r="D116" i="8"/>
  <c r="H115" i="8"/>
  <c r="D115" i="8"/>
  <c r="H114" i="8"/>
  <c r="D114" i="8"/>
  <c r="H113" i="8"/>
  <c r="D113" i="8"/>
  <c r="H112" i="8"/>
  <c r="D112" i="8"/>
  <c r="H111" i="8"/>
  <c r="D111" i="8"/>
  <c r="H110" i="8"/>
  <c r="D110" i="8"/>
  <c r="H109" i="8"/>
  <c r="D109" i="8"/>
  <c r="H108" i="8"/>
  <c r="D108" i="8"/>
  <c r="H107" i="8"/>
  <c r="D107" i="8"/>
  <c r="H106" i="8"/>
  <c r="D106" i="8"/>
  <c r="H105" i="8"/>
  <c r="D105" i="8"/>
  <c r="H104" i="8"/>
  <c r="D104" i="8"/>
  <c r="H103" i="8"/>
  <c r="D103" i="8"/>
  <c r="H102" i="8"/>
  <c r="D102" i="8"/>
  <c r="H101" i="8"/>
  <c r="D101" i="8"/>
  <c r="H100" i="8"/>
  <c r="D100" i="8"/>
  <c r="H99" i="8"/>
  <c r="D99" i="8"/>
  <c r="H98" i="8"/>
  <c r="D98" i="8"/>
  <c r="H97" i="8"/>
  <c r="D97" i="8"/>
  <c r="H96" i="8"/>
  <c r="D96" i="8"/>
  <c r="H95" i="8"/>
  <c r="D95" i="8"/>
  <c r="H94" i="8"/>
  <c r="D94" i="8"/>
  <c r="H93" i="8"/>
  <c r="D93" i="8"/>
  <c r="H92" i="8"/>
  <c r="D92" i="8"/>
  <c r="H91" i="8"/>
  <c r="D91" i="8"/>
  <c r="H90" i="8"/>
  <c r="D90" i="8"/>
  <c r="H89" i="8"/>
  <c r="D89" i="8"/>
  <c r="H88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H72" i="8"/>
  <c r="D72" i="8"/>
  <c r="H71" i="8"/>
  <c r="D71" i="8"/>
  <c r="H70" i="8"/>
  <c r="D70" i="8"/>
  <c r="H69" i="8"/>
  <c r="D69" i="8"/>
  <c r="H68" i="8"/>
  <c r="D68" i="8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F19" i="2"/>
  <c r="E19" i="2"/>
  <c r="J18" i="2"/>
  <c r="J15" i="7"/>
  <c r="J21" i="7" s="1"/>
  <c r="G120" i="7"/>
  <c r="C120" i="7"/>
  <c r="G119" i="7"/>
  <c r="C119" i="7"/>
  <c r="G118" i="7"/>
  <c r="C118" i="7"/>
  <c r="G117" i="7"/>
  <c r="C117" i="7"/>
  <c r="G116" i="7"/>
  <c r="C116" i="7"/>
  <c r="G115" i="7"/>
  <c r="C115" i="7"/>
  <c r="G114" i="7"/>
  <c r="C114" i="7"/>
  <c r="G113" i="7"/>
  <c r="C113" i="7"/>
  <c r="G112" i="7"/>
  <c r="C112" i="7"/>
  <c r="G111" i="7"/>
  <c r="C111" i="7"/>
  <c r="G110" i="7"/>
  <c r="C110" i="7"/>
  <c r="G109" i="7"/>
  <c r="C109" i="7"/>
  <c r="G108" i="7"/>
  <c r="C108" i="7"/>
  <c r="G107" i="7"/>
  <c r="C107" i="7"/>
  <c r="G106" i="7"/>
  <c r="C106" i="7"/>
  <c r="G105" i="7"/>
  <c r="C105" i="7"/>
  <c r="G104" i="7"/>
  <c r="C104" i="7"/>
  <c r="G103" i="7"/>
  <c r="C103" i="7"/>
  <c r="G102" i="7"/>
  <c r="C102" i="7"/>
  <c r="G101" i="7"/>
  <c r="C101" i="7"/>
  <c r="G100" i="7"/>
  <c r="C100" i="7"/>
  <c r="G99" i="7"/>
  <c r="C99" i="7"/>
  <c r="G98" i="7"/>
  <c r="C98" i="7"/>
  <c r="G97" i="7"/>
  <c r="C97" i="7"/>
  <c r="G96" i="7"/>
  <c r="C96" i="7"/>
  <c r="G95" i="7"/>
  <c r="C95" i="7"/>
  <c r="G94" i="7"/>
  <c r="C94" i="7"/>
  <c r="G93" i="7"/>
  <c r="C93" i="7"/>
  <c r="G92" i="7"/>
  <c r="C92" i="7"/>
  <c r="G91" i="7"/>
  <c r="C91" i="7"/>
  <c r="G90" i="7"/>
  <c r="C90" i="7"/>
  <c r="G89" i="7"/>
  <c r="C89" i="7"/>
  <c r="G88" i="7"/>
  <c r="C88" i="7"/>
  <c r="G87" i="7"/>
  <c r="C87" i="7"/>
  <c r="G86" i="7"/>
  <c r="C86" i="7"/>
  <c r="G85" i="7"/>
  <c r="C85" i="7"/>
  <c r="G84" i="7"/>
  <c r="C84" i="7"/>
  <c r="G83" i="7"/>
  <c r="C83" i="7"/>
  <c r="G82" i="7"/>
  <c r="C82" i="7"/>
  <c r="G81" i="7"/>
  <c r="C81" i="7"/>
  <c r="G80" i="7"/>
  <c r="C80" i="7"/>
  <c r="G79" i="7"/>
  <c r="C79" i="7"/>
  <c r="G78" i="7"/>
  <c r="C78" i="7"/>
  <c r="G77" i="7"/>
  <c r="C77" i="7"/>
  <c r="G76" i="7"/>
  <c r="C76" i="7"/>
  <c r="G75" i="7"/>
  <c r="C75" i="7"/>
  <c r="G74" i="7"/>
  <c r="C74" i="7"/>
  <c r="G73" i="7"/>
  <c r="C73" i="7"/>
  <c r="G72" i="7"/>
  <c r="C72" i="7"/>
  <c r="G71" i="7"/>
  <c r="C71" i="7"/>
  <c r="G70" i="7"/>
  <c r="C70" i="7"/>
  <c r="G69" i="7"/>
  <c r="C69" i="7"/>
  <c r="G68" i="7"/>
  <c r="C68" i="7"/>
  <c r="G67" i="7"/>
  <c r="C67" i="7"/>
  <c r="G66" i="7"/>
  <c r="C66" i="7"/>
  <c r="G65" i="7"/>
  <c r="C65" i="7"/>
  <c r="G64" i="7"/>
  <c r="C64" i="7"/>
  <c r="G63" i="7"/>
  <c r="C63" i="7"/>
  <c r="G62" i="7"/>
  <c r="C62" i="7"/>
  <c r="G61" i="7"/>
  <c r="C61" i="7"/>
  <c r="G60" i="7"/>
  <c r="C60" i="7"/>
  <c r="G59" i="7"/>
  <c r="C59" i="7"/>
  <c r="G58" i="7"/>
  <c r="C58" i="7"/>
  <c r="G57" i="7"/>
  <c r="C57" i="7"/>
  <c r="G56" i="7"/>
  <c r="C56" i="7"/>
  <c r="G55" i="7"/>
  <c r="C55" i="7"/>
  <c r="G54" i="7"/>
  <c r="C54" i="7"/>
  <c r="G53" i="7"/>
  <c r="C53" i="7"/>
  <c r="G52" i="7"/>
  <c r="C52" i="7"/>
  <c r="G51" i="7"/>
  <c r="C51" i="7"/>
  <c r="G50" i="7"/>
  <c r="C50" i="7"/>
  <c r="G49" i="7"/>
  <c r="C49" i="7"/>
  <c r="G48" i="7"/>
  <c r="C48" i="7"/>
  <c r="G47" i="7"/>
  <c r="C47" i="7"/>
  <c r="G46" i="7"/>
  <c r="C46" i="7"/>
  <c r="G45" i="7"/>
  <c r="C45" i="7"/>
  <c r="G44" i="7"/>
  <c r="C44" i="7"/>
  <c r="G43" i="7"/>
  <c r="C43" i="7"/>
  <c r="G42" i="7"/>
  <c r="C42" i="7"/>
  <c r="G41" i="7"/>
  <c r="C41" i="7"/>
  <c r="G40" i="7"/>
  <c r="C40" i="7"/>
  <c r="G39" i="7"/>
  <c r="C39" i="7"/>
  <c r="G38" i="7"/>
  <c r="C38" i="7"/>
  <c r="G37" i="7"/>
  <c r="C37" i="7"/>
  <c r="G36" i="7"/>
  <c r="C36" i="7"/>
  <c r="G35" i="7"/>
  <c r="C35" i="7"/>
  <c r="G34" i="7"/>
  <c r="C34" i="7"/>
  <c r="G33" i="7"/>
  <c r="C33" i="7"/>
  <c r="G32" i="7"/>
  <c r="C32" i="7"/>
  <c r="G31" i="7"/>
  <c r="C31" i="7"/>
  <c r="G30" i="7"/>
  <c r="C30" i="7"/>
  <c r="G29" i="7"/>
  <c r="C29" i="7"/>
  <c r="G28" i="7"/>
  <c r="C28" i="7"/>
  <c r="G27" i="7"/>
  <c r="C27" i="7"/>
  <c r="G26" i="7"/>
  <c r="C26" i="7"/>
  <c r="G25" i="7"/>
  <c r="C25" i="7"/>
  <c r="G24" i="7"/>
  <c r="C24" i="7"/>
  <c r="G23" i="7"/>
  <c r="C23" i="7"/>
  <c r="G22" i="7"/>
  <c r="C22" i="7"/>
  <c r="G21" i="7"/>
  <c r="C21" i="7"/>
  <c r="G20" i="7"/>
  <c r="C20" i="7"/>
  <c r="G19" i="7"/>
  <c r="C19" i="7"/>
  <c r="G18" i="7"/>
  <c r="C18" i="7"/>
  <c r="G17" i="7"/>
  <c r="C17" i="7"/>
  <c r="G16" i="7"/>
  <c r="C16" i="7"/>
  <c r="G15" i="7"/>
  <c r="C15" i="7"/>
  <c r="G14" i="7"/>
  <c r="C14" i="7"/>
  <c r="J17" i="2"/>
  <c r="J15" i="6"/>
  <c r="J21" i="6"/>
  <c r="G120" i="6" l="1"/>
  <c r="C120" i="6"/>
  <c r="G119" i="6"/>
  <c r="C119" i="6"/>
  <c r="G118" i="6"/>
  <c r="C118" i="6"/>
  <c r="G117" i="6"/>
  <c r="C117" i="6"/>
  <c r="G116" i="6"/>
  <c r="C116" i="6"/>
  <c r="G115" i="6"/>
  <c r="C115" i="6"/>
  <c r="G114" i="6"/>
  <c r="C114" i="6"/>
  <c r="G113" i="6"/>
  <c r="C113" i="6"/>
  <c r="G112" i="6"/>
  <c r="C112" i="6"/>
  <c r="G111" i="6"/>
  <c r="C111" i="6"/>
  <c r="G110" i="6"/>
  <c r="C110" i="6"/>
  <c r="G109" i="6"/>
  <c r="C109" i="6"/>
  <c r="G108" i="6"/>
  <c r="C108" i="6"/>
  <c r="G107" i="6"/>
  <c r="C107" i="6"/>
  <c r="G106" i="6"/>
  <c r="C106" i="6"/>
  <c r="G105" i="6"/>
  <c r="C105" i="6"/>
  <c r="G104" i="6"/>
  <c r="C104" i="6"/>
  <c r="G103" i="6"/>
  <c r="C103" i="6"/>
  <c r="G102" i="6"/>
  <c r="C102" i="6"/>
  <c r="G101" i="6"/>
  <c r="C101" i="6"/>
  <c r="G100" i="6"/>
  <c r="C100" i="6"/>
  <c r="G99" i="6"/>
  <c r="C99" i="6"/>
  <c r="G98" i="6"/>
  <c r="C98" i="6"/>
  <c r="G97" i="6"/>
  <c r="C97" i="6"/>
  <c r="G96" i="6"/>
  <c r="C96" i="6"/>
  <c r="G95" i="6"/>
  <c r="C95" i="6"/>
  <c r="G94" i="6"/>
  <c r="C94" i="6"/>
  <c r="G93" i="6"/>
  <c r="C93" i="6"/>
  <c r="G92" i="6"/>
  <c r="C92" i="6"/>
  <c r="G91" i="6"/>
  <c r="C91" i="6"/>
  <c r="G90" i="6"/>
  <c r="C90" i="6"/>
  <c r="G89" i="6"/>
  <c r="C89" i="6"/>
  <c r="G88" i="6"/>
  <c r="C88" i="6"/>
  <c r="G87" i="6"/>
  <c r="C87" i="6"/>
  <c r="G86" i="6"/>
  <c r="C86" i="6"/>
  <c r="G85" i="6"/>
  <c r="C85" i="6"/>
  <c r="G84" i="6"/>
  <c r="C84" i="6"/>
  <c r="G83" i="6"/>
  <c r="C83" i="6"/>
  <c r="G82" i="6"/>
  <c r="C82" i="6"/>
  <c r="G81" i="6"/>
  <c r="C81" i="6"/>
  <c r="G80" i="6"/>
  <c r="C80" i="6"/>
  <c r="G79" i="6"/>
  <c r="C79" i="6"/>
  <c r="G78" i="6"/>
  <c r="C78" i="6"/>
  <c r="G77" i="6"/>
  <c r="C77" i="6"/>
  <c r="G76" i="6"/>
  <c r="C76" i="6"/>
  <c r="G75" i="6"/>
  <c r="C75" i="6"/>
  <c r="G74" i="6"/>
  <c r="C74" i="6"/>
  <c r="G73" i="6"/>
  <c r="C73" i="6"/>
  <c r="G72" i="6"/>
  <c r="C72" i="6"/>
  <c r="G71" i="6"/>
  <c r="C71" i="6"/>
  <c r="G70" i="6"/>
  <c r="C70" i="6"/>
  <c r="G69" i="6"/>
  <c r="C69" i="6"/>
  <c r="G68" i="6"/>
  <c r="C68" i="6"/>
  <c r="G67" i="6"/>
  <c r="C67" i="6"/>
  <c r="G66" i="6"/>
  <c r="C66" i="6"/>
  <c r="G65" i="6"/>
  <c r="C65" i="6"/>
  <c r="G64" i="6"/>
  <c r="C64" i="6"/>
  <c r="G63" i="6"/>
  <c r="C63" i="6"/>
  <c r="G62" i="6"/>
  <c r="C62" i="6"/>
  <c r="G61" i="6"/>
  <c r="C61" i="6"/>
  <c r="G60" i="6"/>
  <c r="C60" i="6"/>
  <c r="G59" i="6"/>
  <c r="C59" i="6"/>
  <c r="G58" i="6"/>
  <c r="C58" i="6"/>
  <c r="G57" i="6"/>
  <c r="C57" i="6"/>
  <c r="G56" i="6"/>
  <c r="C56" i="6"/>
  <c r="G55" i="6"/>
  <c r="C55" i="6"/>
  <c r="G54" i="6"/>
  <c r="C54" i="6"/>
  <c r="G53" i="6"/>
  <c r="C53" i="6"/>
  <c r="G52" i="6"/>
  <c r="C52" i="6"/>
  <c r="G51" i="6"/>
  <c r="C51" i="6"/>
  <c r="G50" i="6"/>
  <c r="C50" i="6"/>
  <c r="G49" i="6"/>
  <c r="C49" i="6"/>
  <c r="G48" i="6"/>
  <c r="C48" i="6"/>
  <c r="G47" i="6"/>
  <c r="C47" i="6"/>
  <c r="G46" i="6"/>
  <c r="C46" i="6"/>
  <c r="G45" i="6"/>
  <c r="C45" i="6"/>
  <c r="G44" i="6"/>
  <c r="C44" i="6"/>
  <c r="G43" i="6"/>
  <c r="C43" i="6"/>
  <c r="G42" i="6"/>
  <c r="C42" i="6"/>
  <c r="G41" i="6"/>
  <c r="C41" i="6"/>
  <c r="G40" i="6"/>
  <c r="C40" i="6"/>
  <c r="G39" i="6"/>
  <c r="C39" i="6"/>
  <c r="G38" i="6"/>
  <c r="C38" i="6"/>
  <c r="G37" i="6"/>
  <c r="C37" i="6"/>
  <c r="G36" i="6"/>
  <c r="C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G26" i="6"/>
  <c r="C26" i="6"/>
  <c r="G25" i="6"/>
  <c r="C25" i="6"/>
  <c r="G24" i="6"/>
  <c r="C24" i="6"/>
  <c r="G23" i="6"/>
  <c r="C23" i="6"/>
  <c r="G22" i="6"/>
  <c r="C22" i="6"/>
  <c r="G21" i="6"/>
  <c r="C21" i="6"/>
  <c r="G20" i="6"/>
  <c r="C20" i="6"/>
  <c r="G19" i="6"/>
  <c r="C19" i="6"/>
  <c r="G18" i="6"/>
  <c r="C18" i="6"/>
  <c r="G17" i="6"/>
  <c r="C17" i="6"/>
  <c r="G16" i="6"/>
  <c r="C16" i="6"/>
  <c r="G15" i="6"/>
  <c r="C15" i="6"/>
  <c r="G14" i="6"/>
  <c r="C14" i="6"/>
  <c r="J16" i="2"/>
  <c r="J21" i="5"/>
  <c r="J15" i="5"/>
  <c r="D119" i="4" l="1"/>
  <c r="H119" i="4"/>
  <c r="G119" i="5"/>
  <c r="C119" i="5"/>
  <c r="G118" i="5"/>
  <c r="C118" i="5"/>
  <c r="G117" i="5"/>
  <c r="C117" i="5"/>
  <c r="G116" i="5"/>
  <c r="C116" i="5"/>
  <c r="G115" i="5"/>
  <c r="C115" i="5"/>
  <c r="G114" i="5"/>
  <c r="C114" i="5"/>
  <c r="G113" i="5"/>
  <c r="C113" i="5"/>
  <c r="G112" i="5"/>
  <c r="C112" i="5"/>
  <c r="G111" i="5"/>
  <c r="C111" i="5"/>
  <c r="G110" i="5"/>
  <c r="C110" i="5"/>
  <c r="G109" i="5"/>
  <c r="C109" i="5"/>
  <c r="G108" i="5"/>
  <c r="C108" i="5"/>
  <c r="G107" i="5"/>
  <c r="C107" i="5"/>
  <c r="G106" i="5"/>
  <c r="C106" i="5"/>
  <c r="G105" i="5"/>
  <c r="C105" i="5"/>
  <c r="G104" i="5"/>
  <c r="C104" i="5"/>
  <c r="G103" i="5"/>
  <c r="C103" i="5"/>
  <c r="G102" i="5"/>
  <c r="C102" i="5"/>
  <c r="G101" i="5"/>
  <c r="C101" i="5"/>
  <c r="G100" i="5"/>
  <c r="C100" i="5"/>
  <c r="G99" i="5"/>
  <c r="C99" i="5"/>
  <c r="G98" i="5"/>
  <c r="C98" i="5"/>
  <c r="G97" i="5"/>
  <c r="C97" i="5"/>
  <c r="G96" i="5"/>
  <c r="C96" i="5"/>
  <c r="G95" i="5"/>
  <c r="C95" i="5"/>
  <c r="G94" i="5"/>
  <c r="C94" i="5"/>
  <c r="G93" i="5"/>
  <c r="C93" i="5"/>
  <c r="G92" i="5"/>
  <c r="C92" i="5"/>
  <c r="G91" i="5"/>
  <c r="C91" i="5"/>
  <c r="G90" i="5"/>
  <c r="C90" i="5"/>
  <c r="G89" i="5"/>
  <c r="C89" i="5"/>
  <c r="G88" i="5"/>
  <c r="C88" i="5"/>
  <c r="G87" i="5"/>
  <c r="C87" i="5"/>
  <c r="G86" i="5"/>
  <c r="C86" i="5"/>
  <c r="G85" i="5"/>
  <c r="C85" i="5"/>
  <c r="G84" i="5"/>
  <c r="C84" i="5"/>
  <c r="G83" i="5"/>
  <c r="C83" i="5"/>
  <c r="G82" i="5"/>
  <c r="C82" i="5"/>
  <c r="G81" i="5"/>
  <c r="C81" i="5"/>
  <c r="G80" i="5"/>
  <c r="C80" i="5"/>
  <c r="G79" i="5"/>
  <c r="C79" i="5"/>
  <c r="G78" i="5"/>
  <c r="C78" i="5"/>
  <c r="G77" i="5"/>
  <c r="C77" i="5"/>
  <c r="G76" i="5"/>
  <c r="C76" i="5"/>
  <c r="G75" i="5"/>
  <c r="C75" i="5"/>
  <c r="G74" i="5"/>
  <c r="C74" i="5"/>
  <c r="G73" i="5"/>
  <c r="C73" i="5"/>
  <c r="G72" i="5"/>
  <c r="C72" i="5"/>
  <c r="G71" i="5"/>
  <c r="C71" i="5"/>
  <c r="G70" i="5"/>
  <c r="C70" i="5"/>
  <c r="G69" i="5"/>
  <c r="C69" i="5"/>
  <c r="G68" i="5"/>
  <c r="C68" i="5"/>
  <c r="G67" i="5"/>
  <c r="C67" i="5"/>
  <c r="G66" i="5"/>
  <c r="C66" i="5"/>
  <c r="G65" i="5"/>
  <c r="C65" i="5"/>
  <c r="G64" i="5"/>
  <c r="C64" i="5"/>
  <c r="G63" i="5"/>
  <c r="C63" i="5"/>
  <c r="G62" i="5"/>
  <c r="C62" i="5"/>
  <c r="G61" i="5"/>
  <c r="C61" i="5"/>
  <c r="G60" i="5"/>
  <c r="C60" i="5"/>
  <c r="G59" i="5"/>
  <c r="C59" i="5"/>
  <c r="G58" i="5"/>
  <c r="C58" i="5"/>
  <c r="G57" i="5"/>
  <c r="C57" i="5"/>
  <c r="G56" i="5"/>
  <c r="C56" i="5"/>
  <c r="G55" i="5"/>
  <c r="C55" i="5"/>
  <c r="G54" i="5"/>
  <c r="C54" i="5"/>
  <c r="G53" i="5"/>
  <c r="C53" i="5"/>
  <c r="G52" i="5"/>
  <c r="C52" i="5"/>
  <c r="G51" i="5"/>
  <c r="C51" i="5"/>
  <c r="G50" i="5"/>
  <c r="C50" i="5"/>
  <c r="G49" i="5"/>
  <c r="C49" i="5"/>
  <c r="G48" i="5"/>
  <c r="C48" i="5"/>
  <c r="G47" i="5"/>
  <c r="C47" i="5"/>
  <c r="G46" i="5"/>
  <c r="C46" i="5"/>
  <c r="G45" i="5"/>
  <c r="C45" i="5"/>
  <c r="G44" i="5"/>
  <c r="C44" i="5"/>
  <c r="G43" i="5"/>
  <c r="C43" i="5"/>
  <c r="G42" i="5"/>
  <c r="C42" i="5"/>
  <c r="G41" i="5"/>
  <c r="C41" i="5"/>
  <c r="G40" i="5"/>
  <c r="C40" i="5"/>
  <c r="G39" i="5"/>
  <c r="C39" i="5"/>
  <c r="G38" i="5"/>
  <c r="C38" i="5"/>
  <c r="G37" i="5"/>
  <c r="C37" i="5"/>
  <c r="G36" i="5"/>
  <c r="C36" i="5"/>
  <c r="G35" i="5"/>
  <c r="C35" i="5"/>
  <c r="G34" i="5"/>
  <c r="C34" i="5"/>
  <c r="G33" i="5"/>
  <c r="C33" i="5"/>
  <c r="G32" i="5"/>
  <c r="C32" i="5"/>
  <c r="G31" i="5"/>
  <c r="C31" i="5"/>
  <c r="G30" i="5"/>
  <c r="C30" i="5"/>
  <c r="G29" i="5"/>
  <c r="C29" i="5"/>
  <c r="G28" i="5"/>
  <c r="C28" i="5"/>
  <c r="G27" i="5"/>
  <c r="C27" i="5"/>
  <c r="G26" i="5"/>
  <c r="C26" i="5"/>
  <c r="G25" i="5"/>
  <c r="C25" i="5"/>
  <c r="G24" i="5"/>
  <c r="C24" i="5"/>
  <c r="G23" i="5"/>
  <c r="C23" i="5"/>
  <c r="G22" i="5"/>
  <c r="C22" i="5"/>
  <c r="G21" i="5"/>
  <c r="C21" i="5"/>
  <c r="G20" i="5"/>
  <c r="C20" i="5"/>
  <c r="G19" i="5"/>
  <c r="C19" i="5"/>
  <c r="G18" i="5"/>
  <c r="C18" i="5"/>
  <c r="G17" i="5"/>
  <c r="C17" i="5"/>
  <c r="G16" i="5"/>
  <c r="C16" i="5"/>
  <c r="G15" i="5"/>
  <c r="C15" i="5"/>
  <c r="G14" i="5"/>
  <c r="C14" i="5"/>
  <c r="G13" i="5"/>
  <c r="C13" i="5"/>
  <c r="W15" i="3"/>
  <c r="AA15" i="3"/>
  <c r="F16" i="2"/>
  <c r="F17" i="2"/>
  <c r="F18" i="2"/>
  <c r="E16" i="2"/>
  <c r="E17" i="2"/>
  <c r="E18" i="2"/>
  <c r="C13" i="1" l="1"/>
  <c r="D13" i="1"/>
  <c r="E13" i="1"/>
  <c r="F15" i="2" s="1"/>
  <c r="F13" i="1"/>
  <c r="E15" i="2" s="1"/>
  <c r="H15" i="2" s="1"/>
  <c r="G13" i="1"/>
  <c r="B13" i="1"/>
  <c r="R29" i="4"/>
  <c r="L14" i="4" s="1"/>
  <c r="J15" i="2" s="1"/>
  <c r="I15" i="2" l="1"/>
  <c r="D117" i="4"/>
  <c r="D118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2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L20" i="4"/>
  <c r="D20" i="4"/>
  <c r="D19" i="4"/>
  <c r="D18" i="4"/>
  <c r="D17" i="4"/>
  <c r="D16" i="4"/>
  <c r="D15" i="4"/>
  <c r="D14" i="4"/>
  <c r="D13" i="4"/>
  <c r="D12" i="4"/>
  <c r="H19" i="2"/>
  <c r="K19" i="2" s="1"/>
  <c r="H16" i="2"/>
  <c r="I17" i="2"/>
  <c r="F40" i="2"/>
  <c r="E40" i="2"/>
  <c r="F30" i="2"/>
  <c r="G23" i="2"/>
  <c r="G22" i="2"/>
  <c r="J23" i="2"/>
  <c r="J22" i="2" l="1"/>
  <c r="I19" i="2"/>
  <c r="D38" i="2"/>
  <c r="F31" i="2"/>
  <c r="K48" i="2" s="1"/>
  <c r="I16" i="2"/>
  <c r="H18" i="2"/>
  <c r="K18" i="2" s="1"/>
  <c r="K16" i="2"/>
  <c r="I18" i="2"/>
  <c r="H17" i="2"/>
  <c r="K17" i="2" s="1"/>
  <c r="K15" i="2"/>
  <c r="I22" i="2" l="1"/>
  <c r="K23" i="2"/>
  <c r="K22" i="2"/>
  <c r="D40" i="2"/>
  <c r="K46" i="2" s="1"/>
  <c r="I23" i="2"/>
  <c r="H22" i="2"/>
  <c r="H23" i="2"/>
  <c r="K49" i="2" l="1"/>
  <c r="K32" i="2"/>
  <c r="K45" i="2" s="1"/>
  <c r="K51" i="2" l="1"/>
</calcChain>
</file>

<file path=xl/sharedStrings.xml><?xml version="1.0" encoding="utf-8"?>
<sst xmlns="http://schemas.openxmlformats.org/spreadsheetml/2006/main" count="2316" uniqueCount="835">
  <si>
    <t>SJ Corp</t>
  </si>
  <si>
    <t>Gems, Jewellery And Watches Companies</t>
  </si>
  <si>
    <t>94 results found: Showing page 1 of 4</t>
  </si>
  <si>
    <t xml:space="preserve"> Export</t>
  </si>
  <si>
    <t xml:space="preserve"> Edit Columns</t>
  </si>
  <si>
    <t>S.No.</t>
  </si>
  <si>
    <t>Name</t>
  </si>
  <si>
    <t>CMP Rs.</t>
  </si>
  <si>
    <t xml:space="preserve">Mar Cap Rs.Cr. </t>
  </si>
  <si>
    <t>Debt Rs.Cr.</t>
  </si>
  <si>
    <t>Debt / Eq</t>
  </si>
  <si>
    <t>Titan Company</t>
  </si>
  <si>
    <t>Kalyan Jewellers</t>
  </si>
  <si>
    <t>Thangamayil Jew.</t>
  </si>
  <si>
    <t>PC Jeweller</t>
  </si>
  <si>
    <t>Wegithr Average Cost Of Capital</t>
  </si>
  <si>
    <t>All Figure are in INR  unless Stated Otherwise</t>
  </si>
  <si>
    <t>Peers Companies</t>
  </si>
  <si>
    <t>Debt/</t>
  </si>
  <si>
    <t xml:space="preserve">Levered </t>
  </si>
  <si>
    <t>Unlevered</t>
  </si>
  <si>
    <t>Name oF Company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</si>
  <si>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</si>
  <si>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</si>
  <si>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</si>
  <si>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</rPr>
      <t xml:space="preserve"> 1</t>
    </r>
  </si>
  <si>
    <t>Equity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</si>
  <si>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</si>
  <si>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</si>
  <si>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</si>
  <si>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</si>
  <si>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Median</t>
  </si>
  <si>
    <t>Cost of Debt</t>
  </si>
  <si>
    <t>Cost Of Equity</t>
  </si>
  <si>
    <t>Pre-Tax Cost of Debt</t>
  </si>
  <si>
    <t>Risk Free Rate</t>
  </si>
  <si>
    <t>Tax</t>
  </si>
  <si>
    <t>Equity Risk Premium</t>
  </si>
  <si>
    <t>After Tax Cost Debt</t>
  </si>
  <si>
    <r>
      <t xml:space="preserve">Levered Bta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</si>
  <si>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</si>
  <si>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</si>
  <si>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>Current</t>
  </si>
  <si>
    <t>Traget</t>
  </si>
  <si>
    <t>comps Median Unlevered Beta</t>
  </si>
  <si>
    <t xml:space="preserve">Total Debt </t>
  </si>
  <si>
    <t>Traget Debt/Equity</t>
  </si>
  <si>
    <t>Market Capitaliziation</t>
  </si>
  <si>
    <t>Tax Rate</t>
  </si>
  <si>
    <t>Total Capitalization</t>
  </si>
  <si>
    <t>levered Beta</t>
  </si>
  <si>
    <t>Debt/Equity</t>
  </si>
  <si>
    <t xml:space="preserve"> </t>
  </si>
  <si>
    <t xml:space="preserve">Weighted Average Cost of Capital </t>
  </si>
  <si>
    <t>1. Tax Rate considered as Marginal Tax Rate for the country</t>
  </si>
  <si>
    <t>Cost of Equity</t>
  </si>
  <si>
    <t>2. Levered Beta is based on 5 year monthly data</t>
  </si>
  <si>
    <t>Equity Weight</t>
  </si>
  <si>
    <t>3. Unlevered Beta = Levered Beta/(1+(1-Tax Rate) x Debt/Equity)</t>
  </si>
  <si>
    <t>4. Levered Beta = Unlevered Beta*(1+(1-Tax Rate) x Debt/Equity)</t>
  </si>
  <si>
    <t>Debt Weight</t>
  </si>
  <si>
    <t>WACC</t>
  </si>
  <si>
    <t>Date</t>
  </si>
  <si>
    <t>Open</t>
  </si>
  <si>
    <t>High</t>
  </si>
  <si>
    <t>Low</t>
  </si>
  <si>
    <t>Close</t>
  </si>
  <si>
    <t>Adj Close</t>
  </si>
  <si>
    <t>Volume</t>
  </si>
  <si>
    <t>-</t>
  </si>
  <si>
    <t xml:space="preserve">Date  </t>
  </si>
  <si>
    <t xml:space="preserve">Close Price  </t>
  </si>
  <si>
    <t>Return</t>
  </si>
  <si>
    <t>Beta Drafting</t>
  </si>
  <si>
    <t>Levered Raw Beta</t>
  </si>
  <si>
    <t>Raw Beta Weight</t>
  </si>
  <si>
    <t xml:space="preserve">Market Beta </t>
  </si>
  <si>
    <t>Market Beta Weight</t>
  </si>
  <si>
    <t>Adjusted Beta</t>
  </si>
  <si>
    <t>Dec 30 2024</t>
  </si>
  <si>
    <t>Dec 23 2024</t>
  </si>
  <si>
    <t>Dec 16 2024</t>
  </si>
  <si>
    <t>Dec 9 2024</t>
  </si>
  <si>
    <t>Dec 2 2024</t>
  </si>
  <si>
    <t>Nov 25 2024</t>
  </si>
  <si>
    <t>Nov 18 2024</t>
  </si>
  <si>
    <t>Nov 11 2024</t>
  </si>
  <si>
    <t>Nov 4 2024</t>
  </si>
  <si>
    <t>Oct 28 2024</t>
  </si>
  <si>
    <t>Oct 21 2024</t>
  </si>
  <si>
    <t>Oct 14 2024</t>
  </si>
  <si>
    <t>Oct 7 2024</t>
  </si>
  <si>
    <t>Sep 30 2024</t>
  </si>
  <si>
    <t>Sep 23 2024</t>
  </si>
  <si>
    <t>Sep 16 2024</t>
  </si>
  <si>
    <t>Sep 9 2024</t>
  </si>
  <si>
    <t>Sep 2 2024</t>
  </si>
  <si>
    <t>Aug 26 2024</t>
  </si>
  <si>
    <t>Aug 19 2024</t>
  </si>
  <si>
    <t>Aug 12 2024</t>
  </si>
  <si>
    <t>Aug 5 2024</t>
  </si>
  <si>
    <t>Jul 29 2024</t>
  </si>
  <si>
    <t>Jul 22 2024</t>
  </si>
  <si>
    <t>Jul 15 2024</t>
  </si>
  <si>
    <t>Jul 8 2024</t>
  </si>
  <si>
    <t>Jul 1 2024</t>
  </si>
  <si>
    <t>Jun 24 2024</t>
  </si>
  <si>
    <t>Jun 17 2024</t>
  </si>
  <si>
    <t>Jun 10 2024</t>
  </si>
  <si>
    <t>Jun 3 2024</t>
  </si>
  <si>
    <t>May 27 2024</t>
  </si>
  <si>
    <t>May 20 2024</t>
  </si>
  <si>
    <t>May 13 2024</t>
  </si>
  <si>
    <t>May 6 2024</t>
  </si>
  <si>
    <t>Apr 29 2024</t>
  </si>
  <si>
    <t>Apr 22 2024</t>
  </si>
  <si>
    <t>Apr 15 2024</t>
  </si>
  <si>
    <t>Apr 8 2024</t>
  </si>
  <si>
    <t>Apr 1 2024</t>
  </si>
  <si>
    <t>Mar 25 2024</t>
  </si>
  <si>
    <t>Mar 18 2024</t>
  </si>
  <si>
    <t>Mar 11 2024</t>
  </si>
  <si>
    <t>Mar 4 2024</t>
  </si>
  <si>
    <t>Feb 26 2024</t>
  </si>
  <si>
    <t>Feb 19 2024</t>
  </si>
  <si>
    <t>Feb 12 2024</t>
  </si>
  <si>
    <t>Feb 5 2024</t>
  </si>
  <si>
    <t>Jan 29 2024</t>
  </si>
  <si>
    <t>Jan 22 2024</t>
  </si>
  <si>
    <t>Jan 15 2024</t>
  </si>
  <si>
    <t>Jan 8 2024</t>
  </si>
  <si>
    <t>Jan 1 2024</t>
  </si>
  <si>
    <t>Jan 26 2026</t>
  </si>
  <si>
    <t>Jan 19 2026</t>
  </si>
  <si>
    <t>Jan 12 2026</t>
  </si>
  <si>
    <t>Jan 5 2026</t>
  </si>
  <si>
    <t>Dec 29 2025</t>
  </si>
  <si>
    <t>Dec 22 2025</t>
  </si>
  <si>
    <t>Dec 15 2025</t>
  </si>
  <si>
    <t>Dec 8 2025</t>
  </si>
  <si>
    <t>Dec 1 2025</t>
  </si>
  <si>
    <t>Nov 24 2025</t>
  </si>
  <si>
    <t>Nov 17 2025</t>
  </si>
  <si>
    <t>Nov 10 2025</t>
  </si>
  <si>
    <t>Nov 3 2025</t>
  </si>
  <si>
    <t>Oct 27 2025</t>
  </si>
  <si>
    <t>Oct 20 2025</t>
  </si>
  <si>
    <t>Oct 13 2025</t>
  </si>
  <si>
    <t>Oct 6 2025</t>
  </si>
  <si>
    <t>Sep 29 2025</t>
  </si>
  <si>
    <t>Sep 22 2025</t>
  </si>
  <si>
    <t>Sep 15 2025</t>
  </si>
  <si>
    <t>Sep 8 2025</t>
  </si>
  <si>
    <t>Sep 1 2025</t>
  </si>
  <si>
    <t>Aug 25 2025</t>
  </si>
  <si>
    <t>Aug 18 2025</t>
  </si>
  <si>
    <t>Aug 11 2025</t>
  </si>
  <si>
    <t>Aug 4 2025</t>
  </si>
  <si>
    <t>Jul 28 2025</t>
  </si>
  <si>
    <t>Jul 21 2025</t>
  </si>
  <si>
    <t>Jul 14 2025</t>
  </si>
  <si>
    <t>Jul 7 2025</t>
  </si>
  <si>
    <t>Jun 30 2025</t>
  </si>
  <si>
    <t>Jun 23 2025</t>
  </si>
  <si>
    <t>Jun 16 2025</t>
  </si>
  <si>
    <t>Jun 9 2025</t>
  </si>
  <si>
    <t>Jun 2 2025</t>
  </si>
  <si>
    <t>May 26 2025</t>
  </si>
  <si>
    <t>May 19 2025</t>
  </si>
  <si>
    <t>May 12 2025</t>
  </si>
  <si>
    <t>May 5 2025</t>
  </si>
  <si>
    <t>Apr 28 2025</t>
  </si>
  <si>
    <t>Apr 21 2025</t>
  </si>
  <si>
    <t>Apr 14 2025</t>
  </si>
  <si>
    <t>Apr 7 2025</t>
  </si>
  <si>
    <t>Mar 31 2025</t>
  </si>
  <si>
    <t>Mar 24 2025</t>
  </si>
  <si>
    <t>Mar 17 2025</t>
  </si>
  <si>
    <t>Mar 10 2025</t>
  </si>
  <si>
    <t>Mar 3 2025</t>
  </si>
  <si>
    <t>Feb 24 2025</t>
  </si>
  <si>
    <t>Feb 17 2025</t>
  </si>
  <si>
    <t>Feb 10 2025</t>
  </si>
  <si>
    <t>Feb 3 2025</t>
  </si>
  <si>
    <t>Jan 27 2025</t>
  </si>
  <si>
    <t>Jan 20 2025</t>
  </si>
  <si>
    <t>Jan 13 2025</t>
  </si>
  <si>
    <t>Jan 6 2025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</si>
  <si>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</si>
  <si>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</si>
  <si>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</si>
  <si>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</si>
  <si>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</si>
  <si>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</si>
  <si>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</si>
  <si>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</si>
  <si>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</si>
  <si>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</si>
  <si>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</si>
  <si>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</si>
  <si>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</si>
  <si>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</si>
  <si>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</si>
  <si>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</si>
  <si>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</si>
  <si>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</si>
  <si>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</si>
  <si>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</si>
  <si>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</si>
  <si>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</si>
  <si>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</si>
  <si>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</si>
  <si>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</si>
  <si>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SENSEX Bse Return</t>
  </si>
  <si>
    <t>SJ Corporation Ltd</t>
  </si>
  <si>
    <t>Regression Beta - 2 Years Monthly</t>
  </si>
  <si>
    <t>Narbada Gems</t>
  </si>
  <si>
    <t>Moksh Ornaments</t>
  </si>
  <si>
    <t>Mishka Exim</t>
  </si>
  <si>
    <t>Price</t>
  </si>
  <si>
    <t>Vol.</t>
  </si>
  <si>
    <t>6.62K</t>
  </si>
  <si>
    <t>25-01-2026</t>
  </si>
  <si>
    <t>4.99K</t>
  </si>
  <si>
    <t>18-01-2026</t>
  </si>
  <si>
    <t>4.78K</t>
  </si>
  <si>
    <t>4.48K</t>
  </si>
  <si>
    <t>12.01K</t>
  </si>
  <si>
    <t>28-12-2025</t>
  </si>
  <si>
    <t>4.86K</t>
  </si>
  <si>
    <t>21-12-2025</t>
  </si>
  <si>
    <t>0.67K</t>
  </si>
  <si>
    <t>14-12-2025</t>
  </si>
  <si>
    <t>4.38K</t>
  </si>
  <si>
    <t>0.57K</t>
  </si>
  <si>
    <t>30-11-2025</t>
  </si>
  <si>
    <t>1.77K</t>
  </si>
  <si>
    <t>23-11-2025</t>
  </si>
  <si>
    <t>6.69K</t>
  </si>
  <si>
    <t>16-11-2025</t>
  </si>
  <si>
    <t>14.05K</t>
  </si>
  <si>
    <t>10.18K</t>
  </si>
  <si>
    <t>11.22K</t>
  </si>
  <si>
    <t>26-10-2025</t>
  </si>
  <si>
    <t>10.08K</t>
  </si>
  <si>
    <t>19-10-2025</t>
  </si>
  <si>
    <t>4.71K</t>
  </si>
  <si>
    <t>12.38K</t>
  </si>
  <si>
    <t>20.12K</t>
  </si>
  <si>
    <t>28-09-2025</t>
  </si>
  <si>
    <t>6.09K</t>
  </si>
  <si>
    <t>21-09-2025</t>
  </si>
  <si>
    <t>19.24K</t>
  </si>
  <si>
    <t>14-09-2025</t>
  </si>
  <si>
    <t>16.79K</t>
  </si>
  <si>
    <t>11.48K</t>
  </si>
  <si>
    <t>31-08-2025</t>
  </si>
  <si>
    <t>29.92K</t>
  </si>
  <si>
    <t>24-08-2025</t>
  </si>
  <si>
    <t>26.69K</t>
  </si>
  <si>
    <t>17-08-2025</t>
  </si>
  <si>
    <t>122.67K</t>
  </si>
  <si>
    <t>24.47K</t>
  </si>
  <si>
    <t>5.45K</t>
  </si>
  <si>
    <t>27-07-2025</t>
  </si>
  <si>
    <t>23.28K</t>
  </si>
  <si>
    <t>20-07-2025</t>
  </si>
  <si>
    <t>5.52K</t>
  </si>
  <si>
    <t>13-07-2025</t>
  </si>
  <si>
    <t>34.33K</t>
  </si>
  <si>
    <t>11.93K</t>
  </si>
  <si>
    <t>29-06-2025</t>
  </si>
  <si>
    <t>9.69K</t>
  </si>
  <si>
    <t>22-06-2025</t>
  </si>
  <si>
    <t>5.21K</t>
  </si>
  <si>
    <t>15-06-2025</t>
  </si>
  <si>
    <t>3.98K</t>
  </si>
  <si>
    <t>26.85K</t>
  </si>
  <si>
    <t>39.05K</t>
  </si>
  <si>
    <t>25-05-2025</t>
  </si>
  <si>
    <t>13.35K</t>
  </si>
  <si>
    <t>18-05-2025</t>
  </si>
  <si>
    <t>6.71K</t>
  </si>
  <si>
    <t>3.99K</t>
  </si>
  <si>
    <t>5.24K</t>
  </si>
  <si>
    <t>27-04-2025</t>
  </si>
  <si>
    <t>6.26K</t>
  </si>
  <si>
    <t>20-04-2025</t>
  </si>
  <si>
    <t>14.11K</t>
  </si>
  <si>
    <t>13-04-2025</t>
  </si>
  <si>
    <t>4.87K</t>
  </si>
  <si>
    <t>16.34K</t>
  </si>
  <si>
    <t>30-03-2025</t>
  </si>
  <si>
    <t>16.32K</t>
  </si>
  <si>
    <t>23-03-2025</t>
  </si>
  <si>
    <t>24.36K</t>
  </si>
  <si>
    <t>16-03-2025</t>
  </si>
  <si>
    <t>10.09K</t>
  </si>
  <si>
    <t>8.37K</t>
  </si>
  <si>
    <t>12.02K</t>
  </si>
  <si>
    <t>23-02-2025</t>
  </si>
  <si>
    <t>13.18K</t>
  </si>
  <si>
    <t>16-02-2025</t>
  </si>
  <si>
    <t>10.45K</t>
  </si>
  <si>
    <t>24.22K</t>
  </si>
  <si>
    <t>7.88K</t>
  </si>
  <si>
    <t>26-01-2025</t>
  </si>
  <si>
    <t>10.74K</t>
  </si>
  <si>
    <t>19-01-2025</t>
  </si>
  <si>
    <t>3.32K</t>
  </si>
  <si>
    <t>8.00K</t>
  </si>
  <si>
    <t>15.83K</t>
  </si>
  <si>
    <t>29-12-2024</t>
  </si>
  <si>
    <t>13.32K</t>
  </si>
  <si>
    <t>22-12-2024</t>
  </si>
  <si>
    <t>8.96K</t>
  </si>
  <si>
    <t>15-12-2024</t>
  </si>
  <si>
    <t>23.53K</t>
  </si>
  <si>
    <t>23.49K</t>
  </si>
  <si>
    <t>35.18K</t>
  </si>
  <si>
    <t>24-11-2024</t>
  </si>
  <si>
    <t>18.50K</t>
  </si>
  <si>
    <t>17-11-2024</t>
  </si>
  <si>
    <t>21.22K</t>
  </si>
  <si>
    <t>13.94K</t>
  </si>
  <si>
    <t>20.82K</t>
  </si>
  <si>
    <t>27-10-2024</t>
  </si>
  <si>
    <t>23.21K</t>
  </si>
  <si>
    <t>20-10-2024</t>
  </si>
  <si>
    <t>69.50K</t>
  </si>
  <si>
    <t>13-10-2024</t>
  </si>
  <si>
    <t>24.29K</t>
  </si>
  <si>
    <t>50.77K</t>
  </si>
  <si>
    <t>29-09-2024</t>
  </si>
  <si>
    <t>141.54K</t>
  </si>
  <si>
    <t>22-09-2024</t>
  </si>
  <si>
    <t>46.28K</t>
  </si>
  <si>
    <t>15-09-2024</t>
  </si>
  <si>
    <t>71.97K</t>
  </si>
  <si>
    <t>61.72K</t>
  </si>
  <si>
    <t>81.30K</t>
  </si>
  <si>
    <t>25-08-2024</t>
  </si>
  <si>
    <t>449.25K</t>
  </si>
  <si>
    <t>18-08-2024</t>
  </si>
  <si>
    <t>77.58K</t>
  </si>
  <si>
    <t>28.97K</t>
  </si>
  <si>
    <t>9.55K</t>
  </si>
  <si>
    <t>28-07-2024</t>
  </si>
  <si>
    <t>14.89K</t>
  </si>
  <si>
    <t>21-07-2024</t>
  </si>
  <si>
    <t>27.52K</t>
  </si>
  <si>
    <t>14-07-2024</t>
  </si>
  <si>
    <t>13.76K</t>
  </si>
  <si>
    <t>13.22K</t>
  </si>
  <si>
    <t>30-06-2024</t>
  </si>
  <si>
    <t>20.33K</t>
  </si>
  <si>
    <t>23-06-2024</t>
  </si>
  <si>
    <t>23.38K</t>
  </si>
  <si>
    <t>16-06-2024</t>
  </si>
  <si>
    <t>19.28K</t>
  </si>
  <si>
    <t>29.14K</t>
  </si>
  <si>
    <t>15.40K</t>
  </si>
  <si>
    <t>26-05-2024</t>
  </si>
  <si>
    <t>21.57K</t>
  </si>
  <si>
    <t>19-05-2024</t>
  </si>
  <si>
    <t>3.07K</t>
  </si>
  <si>
    <t>3.88K</t>
  </si>
  <si>
    <t>12.71K</t>
  </si>
  <si>
    <t>28-04-2024</t>
  </si>
  <si>
    <t>12.43K</t>
  </si>
  <si>
    <t>21-04-2024</t>
  </si>
  <si>
    <t>10.02K</t>
  </si>
  <si>
    <t>14-04-2024</t>
  </si>
  <si>
    <t>13.34K</t>
  </si>
  <si>
    <t>17.89K</t>
  </si>
  <si>
    <t>31-03-2024</t>
  </si>
  <si>
    <t>16.62K</t>
  </si>
  <si>
    <t>24-03-2024</t>
  </si>
  <si>
    <t>72.37K</t>
  </si>
  <si>
    <t>17-03-2024</t>
  </si>
  <si>
    <t>10.40K</t>
  </si>
  <si>
    <t>22.38K</t>
  </si>
  <si>
    <t>71.08K</t>
  </si>
  <si>
    <t>25-02-2024</t>
  </si>
  <si>
    <t>115.46K</t>
  </si>
  <si>
    <t>18-02-2024</t>
  </si>
  <si>
    <t>368.20K</t>
  </si>
  <si>
    <t>63.82K</t>
  </si>
  <si>
    <t>28-01-2024</t>
  </si>
  <si>
    <t>27.66K</t>
  </si>
  <si>
    <t>21-01-2024</t>
  </si>
  <si>
    <t>18.07K</t>
  </si>
  <si>
    <t>14-01-2024</t>
  </si>
  <si>
    <t>30.83K</t>
  </si>
  <si>
    <t>49.69K</t>
  </si>
  <si>
    <t>Narbada Gems and Jewellery Ltd</t>
  </si>
  <si>
    <t>72.45M</t>
  </si>
  <si>
    <t>97.65M</t>
  </si>
  <si>
    <t>86.59M</t>
  </si>
  <si>
    <t>60.42M</t>
  </si>
  <si>
    <t>93.88M</t>
  </si>
  <si>
    <t>110.34M</t>
  </si>
  <si>
    <t>25.47M</t>
  </si>
  <si>
    <t>55.51M</t>
  </si>
  <si>
    <t>51.94M</t>
  </si>
  <si>
    <t>57.49M</t>
  </si>
  <si>
    <t>51.86M</t>
  </si>
  <si>
    <t>68.47M</t>
  </si>
  <si>
    <t>71.95M</t>
  </si>
  <si>
    <t>44.72M</t>
  </si>
  <si>
    <t>65.93M</t>
  </si>
  <si>
    <t>53.62M</t>
  </si>
  <si>
    <t>74.00M</t>
  </si>
  <si>
    <t>74.79M</t>
  </si>
  <si>
    <t>51.54M</t>
  </si>
  <si>
    <t>60.21M</t>
  </si>
  <si>
    <t>57.66M</t>
  </si>
  <si>
    <t>51.49M</t>
  </si>
  <si>
    <t>56.51M</t>
  </si>
  <si>
    <t>50.49M</t>
  </si>
  <si>
    <t>56.30M</t>
  </si>
  <si>
    <t>38.48M</t>
  </si>
  <si>
    <t>86.78M</t>
  </si>
  <si>
    <t>49.03M</t>
  </si>
  <si>
    <t>73.24M</t>
  </si>
  <si>
    <t>52.66M</t>
  </si>
  <si>
    <t>47.63M</t>
  </si>
  <si>
    <t>54.23M</t>
  </si>
  <si>
    <t>153.91M</t>
  </si>
  <si>
    <t>63.38M</t>
  </si>
  <si>
    <t>50.43M</t>
  </si>
  <si>
    <t>71.50M</t>
  </si>
  <si>
    <t>74.32M</t>
  </si>
  <si>
    <t>47.02M</t>
  </si>
  <si>
    <t>70.04M</t>
  </si>
  <si>
    <t>49.35M</t>
  </si>
  <si>
    <t>49.57M</t>
  </si>
  <si>
    <t>60.87M</t>
  </si>
  <si>
    <t>33.54M</t>
  </si>
  <si>
    <t>69.81M</t>
  </si>
  <si>
    <t>39.94M</t>
  </si>
  <si>
    <t>62.62M</t>
  </si>
  <si>
    <t>51.67M</t>
  </si>
  <si>
    <t>42.02M</t>
  </si>
  <si>
    <t>42.56M</t>
  </si>
  <si>
    <t>32.92M</t>
  </si>
  <si>
    <t>41.41M</t>
  </si>
  <si>
    <t>43.50M</t>
  </si>
  <si>
    <t>66.01M</t>
  </si>
  <si>
    <t>79.32M</t>
  </si>
  <si>
    <t>61.53M</t>
  </si>
  <si>
    <t>46.56M</t>
  </si>
  <si>
    <t>39.45M</t>
  </si>
  <si>
    <t>29.76M</t>
  </si>
  <si>
    <t>30.25M</t>
  </si>
  <si>
    <t>37.36M</t>
  </si>
  <si>
    <t>40.29M</t>
  </si>
  <si>
    <t>46.94M</t>
  </si>
  <si>
    <t>41.26M</t>
  </si>
  <si>
    <t>40.78M</t>
  </si>
  <si>
    <t>56.84M</t>
  </si>
  <si>
    <t>37.83M</t>
  </si>
  <si>
    <t>38.12M</t>
  </si>
  <si>
    <t>34.90M</t>
  </si>
  <si>
    <t>48.63M</t>
  </si>
  <si>
    <t>55.96M</t>
  </si>
  <si>
    <t>51.87M</t>
  </si>
  <si>
    <t>57.12M</t>
  </si>
  <si>
    <t>42.31M</t>
  </si>
  <si>
    <t>44.38M</t>
  </si>
  <si>
    <t>45.73M</t>
  </si>
  <si>
    <t>38.90M</t>
  </si>
  <si>
    <t>41.67M</t>
  </si>
  <si>
    <t>60.24M</t>
  </si>
  <si>
    <t>71.12M</t>
  </si>
  <si>
    <t>62.41M</t>
  </si>
  <si>
    <t>50.30M</t>
  </si>
  <si>
    <t>56.23M</t>
  </si>
  <si>
    <t>55.74M</t>
  </si>
  <si>
    <t>58.15M</t>
  </si>
  <si>
    <t>50.47M</t>
  </si>
  <si>
    <t>53.52M</t>
  </si>
  <si>
    <t>117.93M</t>
  </si>
  <si>
    <t>56.34M</t>
  </si>
  <si>
    <t>39.43M</t>
  </si>
  <si>
    <t>51.40M</t>
  </si>
  <si>
    <t>45.82M</t>
  </si>
  <si>
    <t>52.40M</t>
  </si>
  <si>
    <t>49.61M</t>
  </si>
  <si>
    <t>50.59M</t>
  </si>
  <si>
    <t>72.02M</t>
  </si>
  <si>
    <t>49.31M</t>
  </si>
  <si>
    <t>54.88M</t>
  </si>
  <si>
    <t>96.71M</t>
  </si>
  <si>
    <t>503.79M</t>
  </si>
  <si>
    <t>64.68M</t>
  </si>
  <si>
    <t>64.47M</t>
  </si>
  <si>
    <t>51.12M</t>
  </si>
  <si>
    <t>52.79M</t>
  </si>
  <si>
    <t>76.58M</t>
  </si>
  <si>
    <t>68.71M</t>
  </si>
  <si>
    <t>63.60M</t>
  </si>
  <si>
    <t>88.44M</t>
  </si>
  <si>
    <t>58.02M</t>
  </si>
  <si>
    <t>47.29M</t>
  </si>
  <si>
    <t>sensex x inest doc, com</t>
  </si>
  <si>
    <t>440.62K</t>
  </si>
  <si>
    <t>572.54K</t>
  </si>
  <si>
    <t>442.16K</t>
  </si>
  <si>
    <t>284.39K</t>
  </si>
  <si>
    <t>2.40M</t>
  </si>
  <si>
    <t>1.28M</t>
  </si>
  <si>
    <t>514.36K</t>
  </si>
  <si>
    <t>1.82M</t>
  </si>
  <si>
    <t>357.21K</t>
  </si>
  <si>
    <t>2.19M</t>
  </si>
  <si>
    <t>6.65M</t>
  </si>
  <si>
    <t>4.12M</t>
  </si>
  <si>
    <t>3.56M</t>
  </si>
  <si>
    <t>1.34M</t>
  </si>
  <si>
    <t>632.04K</t>
  </si>
  <si>
    <t>386.15K</t>
  </si>
  <si>
    <t>554.62K</t>
  </si>
  <si>
    <t>987.61K</t>
  </si>
  <si>
    <t>2.08M</t>
  </si>
  <si>
    <t>1.33M</t>
  </si>
  <si>
    <t>2.78M</t>
  </si>
  <si>
    <t>923.83K</t>
  </si>
  <si>
    <t>1.36M</t>
  </si>
  <si>
    <t>512.91K</t>
  </si>
  <si>
    <t>708.23K</t>
  </si>
  <si>
    <t>1.45M</t>
  </si>
  <si>
    <t>2.11M</t>
  </si>
  <si>
    <t>2.26M</t>
  </si>
  <si>
    <t>3.85M</t>
  </si>
  <si>
    <t>5.05M</t>
  </si>
  <si>
    <t>1.89M</t>
  </si>
  <si>
    <t>2.22M</t>
  </si>
  <si>
    <t>3.44M</t>
  </si>
  <si>
    <t>2.72M</t>
  </si>
  <si>
    <t>1.78M</t>
  </si>
  <si>
    <t>2.98M</t>
  </si>
  <si>
    <t>3.99M</t>
  </si>
  <si>
    <t>732.38K</t>
  </si>
  <si>
    <t>1.55M</t>
  </si>
  <si>
    <t>785.34K</t>
  </si>
  <si>
    <t>2.32M</t>
  </si>
  <si>
    <t>1.93M</t>
  </si>
  <si>
    <t>1.51M</t>
  </si>
  <si>
    <t>2.21M</t>
  </si>
  <si>
    <t>2.51M</t>
  </si>
  <si>
    <t>4.10M</t>
  </si>
  <si>
    <t>1.01M</t>
  </si>
  <si>
    <t>1.12M</t>
  </si>
  <si>
    <t>961.08K</t>
  </si>
  <si>
    <t>1.05M</t>
  </si>
  <si>
    <t>1.71M</t>
  </si>
  <si>
    <t>3.33M</t>
  </si>
  <si>
    <t>1.32M</t>
  </si>
  <si>
    <t>625.76K</t>
  </si>
  <si>
    <t>1.18M</t>
  </si>
  <si>
    <t>1.35M</t>
  </si>
  <si>
    <t>2.24M</t>
  </si>
  <si>
    <t>1.13M</t>
  </si>
  <si>
    <t>4.95M</t>
  </si>
  <si>
    <t>6.14M</t>
  </si>
  <si>
    <t>407.10K</t>
  </si>
  <si>
    <t>282.32K</t>
  </si>
  <si>
    <t>250.13K</t>
  </si>
  <si>
    <t>251.92K</t>
  </si>
  <si>
    <t>337.48K</t>
  </si>
  <si>
    <t>200.57K</t>
  </si>
  <si>
    <t>415.49K</t>
  </si>
  <si>
    <t>506.60K</t>
  </si>
  <si>
    <t>645.14K</t>
  </si>
  <si>
    <t>455.14K</t>
  </si>
  <si>
    <t>902.51K</t>
  </si>
  <si>
    <t>1.02M</t>
  </si>
  <si>
    <t>2.16M</t>
  </si>
  <si>
    <t>14.40M</t>
  </si>
  <si>
    <t>2.30M</t>
  </si>
  <si>
    <t>5.73M</t>
  </si>
  <si>
    <t>2.00M</t>
  </si>
  <si>
    <t>3.34M</t>
  </si>
  <si>
    <t>930.20K</t>
  </si>
  <si>
    <t>2.45M</t>
  </si>
  <si>
    <t>554.14K</t>
  </si>
  <si>
    <t>256.53K</t>
  </si>
  <si>
    <t>267.42K</t>
  </si>
  <si>
    <t>255.68K</t>
  </si>
  <si>
    <t>282.61K</t>
  </si>
  <si>
    <t>236.83K</t>
  </si>
  <si>
    <t>367.05K</t>
  </si>
  <si>
    <t>673.86K</t>
  </si>
  <si>
    <t>317.64K</t>
  </si>
  <si>
    <t>245.11K</t>
  </si>
  <si>
    <t>401.19K</t>
  </si>
  <si>
    <t>193.06K</t>
  </si>
  <si>
    <t>146.88K</t>
  </si>
  <si>
    <t>743.36K</t>
  </si>
  <si>
    <t>1.20M</t>
  </si>
  <si>
    <t>1.64M</t>
  </si>
  <si>
    <t>24.91M</t>
  </si>
  <si>
    <t>6.90M</t>
  </si>
  <si>
    <t>2.58M</t>
  </si>
  <si>
    <t>7.39M</t>
  </si>
  <si>
    <t>6.66M</t>
  </si>
  <si>
    <t>1.47M</t>
  </si>
  <si>
    <t>413.99K</t>
  </si>
  <si>
    <t>Moksh Ornaments Ltd</t>
  </si>
  <si>
    <t>14.46K</t>
  </si>
  <si>
    <t>8.28K</t>
  </si>
  <si>
    <t>18.57K</t>
  </si>
  <si>
    <t>20.68K</t>
  </si>
  <si>
    <t>17.85K</t>
  </si>
  <si>
    <t>14.86K</t>
  </si>
  <si>
    <t>12.67K</t>
  </si>
  <si>
    <t>20.03K</t>
  </si>
  <si>
    <t>8.83K</t>
  </si>
  <si>
    <t>13.83K</t>
  </si>
  <si>
    <t>11.20K</t>
  </si>
  <si>
    <t>27.51K</t>
  </si>
  <si>
    <t>58.00K</t>
  </si>
  <si>
    <t>70.60K</t>
  </si>
  <si>
    <t>7.25K</t>
  </si>
  <si>
    <t>22.55K</t>
  </si>
  <si>
    <t>18.05K</t>
  </si>
  <si>
    <t>9.74K</t>
  </si>
  <si>
    <t>10.88K</t>
  </si>
  <si>
    <t>20.96K</t>
  </si>
  <si>
    <t>23.67K</t>
  </si>
  <si>
    <t>42.75K</t>
  </si>
  <si>
    <t>26.58K</t>
  </si>
  <si>
    <t>54.03K</t>
  </si>
  <si>
    <t>37.49K</t>
  </si>
  <si>
    <t>112.61K</t>
  </si>
  <si>
    <t>136.28K</t>
  </si>
  <si>
    <t>884.28K</t>
  </si>
  <si>
    <t>522.82K</t>
  </si>
  <si>
    <t>136.34K</t>
  </si>
  <si>
    <t>139.04K</t>
  </si>
  <si>
    <t>47.33K</t>
  </si>
  <si>
    <t>83.48K</t>
  </si>
  <si>
    <t>77.93K</t>
  </si>
  <si>
    <t>39.99K</t>
  </si>
  <si>
    <t>307.85K</t>
  </si>
  <si>
    <t>292.80K</t>
  </si>
  <si>
    <t>300.01K</t>
  </si>
  <si>
    <t>142.60K</t>
  </si>
  <si>
    <t>19.82K</t>
  </si>
  <si>
    <t>64.24K</t>
  </si>
  <si>
    <t>15.78K</t>
  </si>
  <si>
    <t>10.98K</t>
  </si>
  <si>
    <t>8.95K</t>
  </si>
  <si>
    <t>25.32K</t>
  </si>
  <si>
    <t>41.26K</t>
  </si>
  <si>
    <t>8.79K</t>
  </si>
  <si>
    <t>44.45K</t>
  </si>
  <si>
    <t>11.38K</t>
  </si>
  <si>
    <t>36.46K</t>
  </si>
  <si>
    <t>349.54K</t>
  </si>
  <si>
    <t>204.80K</t>
  </si>
  <si>
    <t>152.45K</t>
  </si>
  <si>
    <t>33.90K</t>
  </si>
  <si>
    <t>25.54K</t>
  </si>
  <si>
    <t>49.81K</t>
  </si>
  <si>
    <t>242.72K</t>
  </si>
  <si>
    <t>124.69K</t>
  </si>
  <si>
    <t>51.66K</t>
  </si>
  <si>
    <t>28.22K</t>
  </si>
  <si>
    <t>1.50K</t>
  </si>
  <si>
    <t>2.07K</t>
  </si>
  <si>
    <t>16.96K</t>
  </si>
  <si>
    <t>0.47K</t>
  </si>
  <si>
    <t>0.71K</t>
  </si>
  <si>
    <t>1.60K</t>
  </si>
  <si>
    <t>2.54K</t>
  </si>
  <si>
    <t>19.86K</t>
  </si>
  <si>
    <t>23.10K</t>
  </si>
  <si>
    <t>3.00K</t>
  </si>
  <si>
    <t>1.49K</t>
  </si>
  <si>
    <t>4.40K</t>
  </si>
  <si>
    <t>5.09K</t>
  </si>
  <si>
    <t>6.16K</t>
  </si>
  <si>
    <t>5.95K</t>
  </si>
  <si>
    <t>3.84K</t>
  </si>
  <si>
    <t>7.32K</t>
  </si>
  <si>
    <t>0.64K</t>
  </si>
  <si>
    <t>6.38K</t>
  </si>
  <si>
    <t>25.90K</t>
  </si>
  <si>
    <t>2.01K</t>
  </si>
  <si>
    <t>0.44K</t>
  </si>
  <si>
    <t>0.59K</t>
  </si>
  <si>
    <t>7.78K</t>
  </si>
  <si>
    <t>2.20K</t>
  </si>
  <si>
    <t>0.49K</t>
  </si>
  <si>
    <t>5.94K</t>
  </si>
  <si>
    <t>1.28K</t>
  </si>
  <si>
    <t>2.44K</t>
  </si>
  <si>
    <t>8.60K</t>
  </si>
  <si>
    <t>22.65K</t>
  </si>
  <si>
    <t>6.83K</t>
  </si>
  <si>
    <t>0.39K</t>
  </si>
  <si>
    <t>1.32K</t>
  </si>
  <si>
    <t>0.20K</t>
  </si>
  <si>
    <t>0.69K</t>
  </si>
  <si>
    <t>0.88K</t>
  </si>
  <si>
    <t>3.47K</t>
  </si>
  <si>
    <t>8.54K</t>
  </si>
  <si>
    <t>2.96K</t>
  </si>
  <si>
    <t>4.82K</t>
  </si>
  <si>
    <t>7.28K</t>
  </si>
  <si>
    <t>7.29K</t>
  </si>
  <si>
    <t>9.57K</t>
  </si>
  <si>
    <t>15.48K</t>
  </si>
  <si>
    <t>11.17K</t>
  </si>
  <si>
    <t>Mishka Exim Ltd</t>
  </si>
  <si>
    <t>Bhakti Gems</t>
  </si>
  <si>
    <t>419.09K</t>
  </si>
  <si>
    <t>273.48K</t>
  </si>
  <si>
    <t>735.51K</t>
  </si>
  <si>
    <t>1.97M</t>
  </si>
  <si>
    <t>1.75M</t>
  </si>
  <si>
    <t>927.76K</t>
  </si>
  <si>
    <t>1.50M</t>
  </si>
  <si>
    <t>1.61M</t>
  </si>
  <si>
    <t>471.22K</t>
  </si>
  <si>
    <t>728.66K</t>
  </si>
  <si>
    <t>547.59K</t>
  </si>
  <si>
    <t>344.59K</t>
  </si>
  <si>
    <t>516.47K</t>
  </si>
  <si>
    <t>723.89K</t>
  </si>
  <si>
    <t>266.80K</t>
  </si>
  <si>
    <t>99.77K</t>
  </si>
  <si>
    <t>101.99K</t>
  </si>
  <si>
    <t>488.32K</t>
  </si>
  <si>
    <t>1.42M</t>
  </si>
  <si>
    <t>393.16K</t>
  </si>
  <si>
    <t>275.87K</t>
  </si>
  <si>
    <t>900.81K</t>
  </si>
  <si>
    <t>160.94K</t>
  </si>
  <si>
    <t>414.16K</t>
  </si>
  <si>
    <t>463.90K</t>
  </si>
  <si>
    <t>203.47K</t>
  </si>
  <si>
    <t>484.99K</t>
  </si>
  <si>
    <t>612.39K</t>
  </si>
  <si>
    <t>680.53K</t>
  </si>
  <si>
    <t>25.00K</t>
  </si>
  <si>
    <t>37.01K</t>
  </si>
  <si>
    <t>104.76K</t>
  </si>
  <si>
    <t>24.21K</t>
  </si>
  <si>
    <t>37.56K</t>
  </si>
  <si>
    <t>15.16K</t>
  </si>
  <si>
    <t>38.96K</t>
  </si>
  <si>
    <t>32.43K</t>
  </si>
  <si>
    <t>50.30K</t>
  </si>
  <si>
    <t>125.25K</t>
  </si>
  <si>
    <t>23.84K</t>
  </si>
  <si>
    <t>16.10K</t>
  </si>
  <si>
    <t>67.45K</t>
  </si>
  <si>
    <t>81.47K</t>
  </si>
  <si>
    <t>55.05K</t>
  </si>
  <si>
    <t>38.66K</t>
  </si>
  <si>
    <t>60.50K</t>
  </si>
  <si>
    <t>61.75K</t>
  </si>
  <si>
    <t>43.19K</t>
  </si>
  <si>
    <t>50.79K</t>
  </si>
  <si>
    <t>46.06K</t>
  </si>
  <si>
    <t>94.26K</t>
  </si>
  <si>
    <t>30.33K</t>
  </si>
  <si>
    <t>97.42K</t>
  </si>
  <si>
    <t>52.47K</t>
  </si>
  <si>
    <t>75.38K</t>
  </si>
  <si>
    <t>19.25K</t>
  </si>
  <si>
    <t>193.56K</t>
  </si>
  <si>
    <t>50.34K</t>
  </si>
  <si>
    <t>75.03K</t>
  </si>
  <si>
    <t>65.09K</t>
  </si>
  <si>
    <t>59.24K</t>
  </si>
  <si>
    <t>64.16K</t>
  </si>
  <si>
    <t>78.97K</t>
  </si>
  <si>
    <t>35.71K</t>
  </si>
  <si>
    <t>115.05K</t>
  </si>
  <si>
    <t>158.78K</t>
  </si>
  <si>
    <t>226.16K</t>
  </si>
  <si>
    <t>511.82K</t>
  </si>
  <si>
    <t>1.04M</t>
  </si>
  <si>
    <t>280.28K</t>
  </si>
  <si>
    <t>210.69K</t>
  </si>
  <si>
    <t>101.83K</t>
  </si>
  <si>
    <t>111.75K</t>
  </si>
  <si>
    <t>144.25K</t>
  </si>
  <si>
    <t>68.41K</t>
  </si>
  <si>
    <t>76.99K</t>
  </si>
  <si>
    <t>146.91K</t>
  </si>
  <si>
    <t>332.85K</t>
  </si>
  <si>
    <t>86.25K</t>
  </si>
  <si>
    <t>151.83K</t>
  </si>
  <si>
    <t>88.83K</t>
  </si>
  <si>
    <t>120.95K</t>
  </si>
  <si>
    <t>92.46K</t>
  </si>
  <si>
    <t>94.80K</t>
  </si>
  <si>
    <t>150.92K</t>
  </si>
  <si>
    <t>65.97K</t>
  </si>
  <si>
    <t>82.57K</t>
  </si>
  <si>
    <t>107.95K</t>
  </si>
  <si>
    <t>147.19K</t>
  </si>
  <si>
    <t>113.35K</t>
  </si>
  <si>
    <t>197.99K</t>
  </si>
  <si>
    <t>98.51K</t>
  </si>
  <si>
    <t>230.41K</t>
  </si>
  <si>
    <t>470.34K</t>
  </si>
  <si>
    <t>86.62K</t>
  </si>
  <si>
    <t>118.11K</t>
  </si>
  <si>
    <t>105.21K</t>
  </si>
  <si>
    <t>167.90K</t>
  </si>
  <si>
    <t>180.54K</t>
  </si>
  <si>
    <t>233.07K</t>
  </si>
  <si>
    <t>296.91K</t>
  </si>
  <si>
    <t>289.81K</t>
  </si>
  <si>
    <t>1.16M</t>
  </si>
  <si>
    <t>816.55K</t>
  </si>
  <si>
    <t>1.66M</t>
  </si>
  <si>
    <t>Guru Krupa Gems and Jewellery Ltd</t>
  </si>
  <si>
    <t>Year</t>
  </si>
  <si>
    <t>Annual</t>
  </si>
  <si>
    <t>Average Return</t>
  </si>
  <si>
    <t>Dividevd yield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</si>
  <si>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</si>
  <si>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Total Market Return</t>
  </si>
  <si>
    <t>5 YEAR AVERAGE</t>
  </si>
  <si>
    <t>Average return</t>
  </si>
  <si>
    <r>
      <t xml:space="preserve">1.15 </t>
    </r>
    <r>
      <rPr>
        <vertAlign val="superscript"/>
        <sz val="11"/>
        <color theme="1"/>
        <rFont val="Calibri"/>
        <family val="2"/>
      </rPr>
      <t>1</t>
    </r>
  </si>
  <si>
    <t>Return on market Sensex last 21 years</t>
  </si>
  <si>
    <t>Return on market nifty 50  26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</si>
</sst>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"/>
  </numFmts>
  <fonts count="20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3333FF"/>
      <name val="Calibri"/>
      <family val="2"/>
    </font>
    <font>
      <sz val="11"/>
      <color rgb="FF3333FF"/>
      <name val="Segoe UI"/>
      <family val="2"/>
    </font>
    <font>
      <i/>
      <sz val="9"/>
      <color theme="1"/>
      <name val="Calibri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sz val="8"/>
      <name val="Calibri"/>
      <family val="2"/>
    </font>
    <font>
      <sz val="11"/>
      <color theme="2" tint="-0.89999084444715716"/>
      <name val="Calibri"/>
      <family val="2"/>
    </font>
    <font>
      <sz val="10"/>
      <color rgb="FF000000"/>
      <name val="GT Walsheim Pro"/>
    </font>
    <font>
      <b/>
      <sz val="10"/>
      <color rgb="FF000000"/>
      <name val="GT Walsheim Pro"/>
    </font>
    <font>
      <b/>
      <sz val="10"/>
      <color rgb="FFE74C3C"/>
      <name val="GT Walsheim Pro"/>
    </font>
    <font>
      <sz val="10"/>
      <color rgb="FF006AFF"/>
      <name val="Arial"/>
      <family val="2"/>
    </font>
    <font>
      <sz val="10"/>
      <color rgb="FF202020"/>
      <name val="Arial"/>
      <family val="2"/>
    </font>
    <font>
      <sz val="10"/>
      <color rgb="FF006A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8F2"/>
        <bgColor indexed="64"/>
      </patternFill>
    </fill>
    <fill>
      <patternFill patternType="solid">
        <fgColor rgb="FFFFF5F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ECEEEF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86">
    <xf numFmtId="0" fontId="0" fillId="0" borderId="0" xfId="0"/>
    <xf numFmtId="0" fontId="3" fillId="3" borderId="0" xfId="0" applyFont="1" applyFill="1"/>
    <xf numFmtId="0" fontId="0" fillId="3" borderId="0" xfId="0" applyFill="1"/>
    <xf numFmtId="0" fontId="5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7" fillId="0" borderId="0" xfId="0" applyFont="1"/>
    <xf numFmtId="10" fontId="7" fillId="0" borderId="0" xfId="0" applyNumberFormat="1" applyFont="1"/>
    <xf numFmtId="10" fontId="0" fillId="4" borderId="0" xfId="1" applyNumberFormat="1" applyFont="1" applyFill="1"/>
    <xf numFmtId="2" fontId="7" fillId="0" borderId="0" xfId="0" applyNumberFormat="1" applyFont="1"/>
    <xf numFmtId="2" fontId="0" fillId="4" borderId="0" xfId="0" applyNumberFormat="1" applyFill="1"/>
    <xf numFmtId="2" fontId="8" fillId="2" borderId="3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10" fontId="4" fillId="0" borderId="0" xfId="0" applyNumberFormat="1" applyFont="1"/>
    <xf numFmtId="0" fontId="3" fillId="0" borderId="1" xfId="0" applyFont="1" applyBorder="1"/>
    <xf numFmtId="10" fontId="0" fillId="0" borderId="1" xfId="0" applyNumberFormat="1" applyBorder="1"/>
    <xf numFmtId="10" fontId="0" fillId="0" borderId="1" xfId="1" applyNumberFormat="1" applyFont="1" applyBorder="1"/>
    <xf numFmtId="2" fontId="0" fillId="0" borderId="1" xfId="0" applyNumberFormat="1" applyBorder="1"/>
    <xf numFmtId="0" fontId="3" fillId="0" borderId="2" xfId="0" applyFont="1" applyBorder="1"/>
    <xf numFmtId="10" fontId="0" fillId="0" borderId="2" xfId="0" applyNumberFormat="1" applyBorder="1"/>
    <xf numFmtId="10" fontId="0" fillId="0" borderId="2" xfId="1" applyNumberFormat="1" applyFont="1" applyBorder="1"/>
    <xf numFmtId="2" fontId="0" fillId="0" borderId="2" xfId="0" applyNumberFormat="1" applyBorder="1"/>
    <xf numFmtId="10" fontId="0" fillId="0" borderId="0" xfId="0" applyNumberFormat="1"/>
    <xf numFmtId="0" fontId="0" fillId="0" borderId="4" xfId="0" applyBorder="1"/>
    <xf numFmtId="10" fontId="0" fillId="4" borderId="4" xfId="0" applyNumberFormat="1" applyFill="1" applyBorder="1"/>
    <xf numFmtId="0" fontId="0" fillId="0" borderId="5" xfId="0" applyBorder="1"/>
    <xf numFmtId="2" fontId="0" fillId="4" borderId="5" xfId="0" applyNumberFormat="1" applyFill="1" applyBorder="1"/>
    <xf numFmtId="10" fontId="0" fillId="4" borderId="0" xfId="0" applyNumberFormat="1" applyFill="1"/>
    <xf numFmtId="0" fontId="3" fillId="0" borderId="2" xfId="0" applyFont="1" applyBorder="1" applyAlignment="1">
      <alignment horizontal="right"/>
    </xf>
    <xf numFmtId="2" fontId="0" fillId="0" borderId="0" xfId="0" applyNumberFormat="1"/>
    <xf numFmtId="10" fontId="0" fillId="0" borderId="0" xfId="1" applyNumberFormat="1" applyFont="1"/>
    <xf numFmtId="0" fontId="0" fillId="0" borderId="6" xfId="0" applyBorder="1"/>
    <xf numFmtId="164" fontId="0" fillId="0" borderId="6" xfId="0" applyNumberFormat="1" applyBorder="1"/>
    <xf numFmtId="9" fontId="0" fillId="0" borderId="6" xfId="1" applyFont="1" applyBorder="1"/>
    <xf numFmtId="2" fontId="0" fillId="0" borderId="6" xfId="0" applyNumberFormat="1" applyBorder="1"/>
    <xf numFmtId="0" fontId="3" fillId="0" borderId="5" xfId="0" applyFont="1" applyBorder="1"/>
    <xf numFmtId="0" fontId="9" fillId="0" borderId="0" xfId="0" applyFont="1"/>
    <xf numFmtId="0" fontId="1" fillId="0" borderId="0" xfId="0" applyFont="1"/>
    <xf numFmtId="10" fontId="0" fillId="0" borderId="0" xfId="1" applyNumberFormat="1" applyFont="1" applyFill="1" applyBorder="1"/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5" borderId="0" xfId="0" applyFont="1" applyFill="1"/>
    <xf numFmtId="10" fontId="3" fillId="5" borderId="0" xfId="0" applyNumberFormat="1" applyFont="1" applyFill="1"/>
    <xf numFmtId="15" fontId="0" fillId="0" borderId="0" xfId="0" applyNumberFormat="1"/>
    <xf numFmtId="3" fontId="0" fillId="0" borderId="0" xfId="0" applyNumberFormat="1"/>
    <xf numFmtId="0" fontId="3" fillId="0" borderId="7" xfId="0" applyFont="1" applyBorder="1"/>
    <xf numFmtId="0" fontId="3" fillId="0" borderId="7" xfId="0" applyFont="1" applyBorder="1" applyAlignment="1">
      <alignment horizontal="left" indent="1"/>
    </xf>
    <xf numFmtId="0" fontId="0" fillId="0" borderId="0" xfId="0" applyAlignment="1">
      <alignment horizontal="left"/>
    </xf>
    <xf numFmtId="0" fontId="0" fillId="5" borderId="0" xfId="0" applyFill="1"/>
    <xf numFmtId="2" fontId="0" fillId="5" borderId="0" xfId="0" applyNumberFormat="1" applyFill="1"/>
    <xf numFmtId="0" fontId="0" fillId="0" borderId="0" xfId="0" applyFill="1" applyBorder="1" applyAlignment="1"/>
    <xf numFmtId="0" fontId="0" fillId="0" borderId="8" xfId="0" applyFill="1" applyBorder="1" applyAlignment="1"/>
    <xf numFmtId="0" fontId="11" fillId="0" borderId="9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Continuous"/>
    </xf>
    <xf numFmtId="14" fontId="0" fillId="0" borderId="0" xfId="0" applyNumberFormat="1"/>
    <xf numFmtId="4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13" fillId="7" borderId="0" xfId="0" applyFont="1" applyFill="1"/>
    <xf numFmtId="10" fontId="0" fillId="0" borderId="0" xfId="0" applyNumberFormat="1" applyAlignment="1">
      <alignment horizontal="right"/>
    </xf>
    <xf numFmtId="0" fontId="0" fillId="8" borderId="0" xfId="0" applyFill="1"/>
    <xf numFmtId="10" fontId="0" fillId="8" borderId="0" xfId="0" applyNumberFormat="1" applyFill="1"/>
    <xf numFmtId="0" fontId="0" fillId="9" borderId="0" xfId="0" applyFill="1"/>
    <xf numFmtId="10" fontId="17" fillId="10" borderId="10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vertical="center" wrapText="1"/>
    </xf>
    <xf numFmtId="0" fontId="19" fillId="2" borderId="10" xfId="0" applyFont="1" applyFill="1" applyBorder="1" applyAlignment="1">
      <alignment horizontal="center" vertical="center" wrapText="1"/>
    </xf>
    <xf numFmtId="10" fontId="18" fillId="11" borderId="10" xfId="0" applyNumberFormat="1" applyFont="1" applyFill="1" applyBorder="1" applyAlignment="1">
      <alignment horizontal="center" vertical="center" wrapText="1"/>
    </xf>
    <xf numFmtId="10" fontId="18" fillId="10" borderId="10" xfId="0" applyNumberFormat="1" applyFont="1" applyFill="1" applyBorder="1" applyAlignment="1">
      <alignment horizontal="center" vertical="center" wrapText="1"/>
    </xf>
    <xf numFmtId="14" fontId="15" fillId="2" borderId="0" xfId="0" applyNumberFormat="1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vertical="center" wrapText="1"/>
    </xf>
    <xf numFmtId="10" fontId="15" fillId="2" borderId="0" xfId="0" applyNumberFormat="1" applyFont="1" applyFill="1" applyBorder="1" applyAlignment="1">
      <alignment vertical="center" wrapText="1"/>
    </xf>
    <xf numFmtId="10" fontId="16" fillId="2" borderId="0" xfId="0" applyNumberFormat="1" applyFont="1" applyFill="1" applyBorder="1" applyAlignment="1">
      <alignment vertical="center" wrapText="1"/>
    </xf>
    <xf numFmtId="0" fontId="13" fillId="9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5" fillId="2" borderId="0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2" fillId="6" borderId="0" xfId="0" applyFont="1" applyFill="1" applyAlignment="1">
      <alignment horizontal="center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3">
    <cellStyle name="Normal" xfId="0" builtinId="0"/>
    <cellStyle name="Normal 2" xfId="2" xr:uid="{2C0880EB-5D86-443C-99C7-EAA8A8AF7354}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38873</xdr:rowOff>
    </xdr:from>
    <xdr:to>
      <xdr:col>2</xdr:col>
      <xdr:colOff>1325880</xdr:colOff>
      <xdr:row>6</xdr:row>
      <xdr:rowOff>173272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4FEACDD-937A-4928-86CC-B12E4254C44E}"/>
            </a:ext>
          </a:extLst>
        </xdr:cNvPr>
        <xdr:cNvSpPr/>
      </xdr:nvSpPr>
      <xdr:spPr>
        <a:xfrm>
          <a:off x="968513" y="38873"/>
          <a:ext cx="1097280" cy="126083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574420</xdr:colOff>
      <xdr:row>2</xdr:row>
      <xdr:rowOff>123105</xdr:rowOff>
    </xdr:from>
    <xdr:to>
      <xdr:col>2</xdr:col>
      <xdr:colOff>742941</xdr:colOff>
      <xdr:row>6</xdr:row>
      <xdr:rowOff>27752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805FE07-4AE0-4B72-AB89-4412A86D0845}"/>
            </a:ext>
          </a:extLst>
        </xdr:cNvPr>
        <xdr:cNvSpPr/>
      </xdr:nvSpPr>
      <xdr:spPr>
        <a:xfrm rot="5400000">
          <a:off x="1070792" y="742124"/>
          <a:ext cx="655604" cy="1685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739140</xdr:colOff>
      <xdr:row>1</xdr:row>
      <xdr:rowOff>76200</xdr:rowOff>
    </xdr:from>
    <xdr:to>
      <xdr:col>2</xdr:col>
      <xdr:colOff>1104900</xdr:colOff>
      <xdr:row>3</xdr:row>
      <xdr:rowOff>175260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F0A20CD-9AB8-46B9-AB57-EB871076063E}"/>
            </a:ext>
          </a:extLst>
        </xdr:cNvPr>
        <xdr:cNvSpPr/>
      </xdr:nvSpPr>
      <xdr:spPr>
        <a:xfrm flipH="1">
          <a:off x="1478280" y="259080"/>
          <a:ext cx="365760" cy="4648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87F3-C12C-4AD6-A21D-2861A5D068F5}">
  <dimension ref="B2:G17"/>
  <sheetViews>
    <sheetView topLeftCell="B1" workbookViewId="0">
      <selection activeCell="C17" sqref="C17"/>
    </sheetView>
  </sheetViews>
  <sheetFormatPr defaultRowHeight="14.4"/>
  <cols>
    <col min="1" max="1" width="1.88671875" customWidth="1"/>
    <col min="3" max="3" width="15.44140625" bestFit="1" customWidth="1"/>
    <col min="5" max="5" width="14.77734375" customWidth="1"/>
    <col min="6" max="6" width="14.6640625" customWidth="1"/>
    <col min="7" max="7" width="11.109375" customWidth="1"/>
  </cols>
  <sheetData>
    <row r="2" spans="2:7">
      <c r="B2" t="s">
        <v>1</v>
      </c>
    </row>
    <row r="3" spans="2:7">
      <c r="B3" t="s">
        <v>2</v>
      </c>
    </row>
    <row r="4" spans="2:7">
      <c r="B4" t="s">
        <v>3</v>
      </c>
    </row>
    <row r="5" spans="2:7">
      <c r="B5" t="s">
        <v>4</v>
      </c>
    </row>
    <row r="6" spans="2:7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2:7">
      <c r="B7">
        <v>1</v>
      </c>
      <c r="C7" t="s">
        <v>11</v>
      </c>
      <c r="D7">
        <v>3953.2</v>
      </c>
      <c r="E7">
        <v>350493.51</v>
      </c>
      <c r="F7">
        <v>12465</v>
      </c>
      <c r="G7">
        <v>0.97</v>
      </c>
    </row>
    <row r="8" spans="2:7">
      <c r="B8">
        <v>2</v>
      </c>
      <c r="C8" t="s">
        <v>12</v>
      </c>
      <c r="D8">
        <v>365.5</v>
      </c>
      <c r="E8">
        <v>37754.06</v>
      </c>
      <c r="F8">
        <v>5334.96</v>
      </c>
      <c r="G8">
        <v>1</v>
      </c>
    </row>
    <row r="9" spans="2:7">
      <c r="B9">
        <v>3</v>
      </c>
      <c r="C9" t="s">
        <v>13</v>
      </c>
      <c r="D9">
        <v>3218.9</v>
      </c>
      <c r="E9">
        <v>10008.14</v>
      </c>
      <c r="F9">
        <v>1124.3499999999999</v>
      </c>
      <c r="G9">
        <v>0.96</v>
      </c>
    </row>
    <row r="10" spans="2:7">
      <c r="B10">
        <v>4</v>
      </c>
      <c r="C10" t="s">
        <v>14</v>
      </c>
      <c r="D10">
        <v>10.38</v>
      </c>
      <c r="E10">
        <v>8202.09</v>
      </c>
      <c r="F10">
        <v>1594.49</v>
      </c>
      <c r="G10">
        <v>0.22</v>
      </c>
    </row>
    <row r="11" spans="2:7">
      <c r="B11">
        <v>55</v>
      </c>
      <c r="C11" t="s">
        <v>0</v>
      </c>
      <c r="D11">
        <v>71.47</v>
      </c>
      <c r="E11">
        <v>59.71</v>
      </c>
      <c r="F11">
        <v>0</v>
      </c>
      <c r="G11">
        <v>0</v>
      </c>
    </row>
    <row r="13" spans="2:7">
      <c r="B13">
        <f t="shared" ref="B13:G13" si="0">B11</f>
        <v>55</v>
      </c>
      <c r="C13" t="str">
        <f t="shared" si="0"/>
        <v>SJ Corp</v>
      </c>
      <c r="D13">
        <f t="shared" si="0"/>
        <v>71.47</v>
      </c>
      <c r="E13">
        <f t="shared" si="0"/>
        <v>59.71</v>
      </c>
      <c r="F13">
        <f t="shared" si="0"/>
        <v>0</v>
      </c>
      <c r="G13">
        <f t="shared" si="0"/>
        <v>0</v>
      </c>
    </row>
    <row r="14" spans="2:7">
      <c r="B14">
        <v>41</v>
      </c>
      <c r="C14" t="s">
        <v>216</v>
      </c>
      <c r="D14">
        <v>59.25</v>
      </c>
      <c r="E14">
        <v>125.36</v>
      </c>
      <c r="F14">
        <v>28.57</v>
      </c>
      <c r="G14">
        <v>0.48</v>
      </c>
    </row>
    <row r="15" spans="2:7">
      <c r="B15">
        <v>42</v>
      </c>
      <c r="C15" t="s">
        <v>217</v>
      </c>
      <c r="D15">
        <v>13.39</v>
      </c>
      <c r="E15">
        <v>118.17</v>
      </c>
      <c r="F15">
        <v>38.75</v>
      </c>
      <c r="G15">
        <v>0.31</v>
      </c>
    </row>
    <row r="16" spans="2:7">
      <c r="B16">
        <v>57</v>
      </c>
      <c r="C16" t="s">
        <v>218</v>
      </c>
      <c r="D16">
        <v>40.9</v>
      </c>
      <c r="E16">
        <v>59.1</v>
      </c>
      <c r="F16">
        <v>1.23</v>
      </c>
      <c r="G16">
        <v>7.0000000000000007E-2</v>
      </c>
    </row>
    <row r="17" spans="2:7">
      <c r="B17">
        <v>52</v>
      </c>
      <c r="C17" t="s">
        <v>717</v>
      </c>
      <c r="D17">
        <v>43.13</v>
      </c>
      <c r="E17">
        <v>64.86</v>
      </c>
      <c r="F17">
        <v>0.81</v>
      </c>
      <c r="G17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059F-AF74-4CE8-90D1-BAEE500046BE}">
  <dimension ref="B1:P51"/>
  <sheetViews>
    <sheetView showGridLines="0" view="pageLayout" topLeftCell="A50" zoomScale="36" zoomScaleNormal="88" zoomScalePageLayoutView="36" workbookViewId="0">
      <selection activeCell="B1" sqref="B1:P51"/>
    </sheetView>
  </sheetViews>
  <sheetFormatPr defaultRowHeight="14.4"/>
  <cols>
    <col min="1" max="1" width="1.88671875" customWidth="1"/>
    <col min="3" max="3" width="45.44140625" bestFit="1" customWidth="1"/>
    <col min="4" max="4" width="7.44140625" bestFit="1" customWidth="1"/>
    <col min="5" max="5" width="9.6640625" bestFit="1" customWidth="1"/>
    <col min="6" max="6" width="11" bestFit="1" customWidth="1"/>
  </cols>
  <sheetData>
    <row r="1" spans="2:16"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2:16"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spans="2:16"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</row>
    <row r="4" spans="2:16"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</row>
    <row r="5" spans="2:16"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spans="2:16"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</row>
    <row r="7" spans="2:16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</row>
    <row r="8" spans="2:16">
      <c r="C8" s="1" t="s">
        <v>15</v>
      </c>
      <c r="D8" s="2"/>
      <c r="E8" s="2"/>
      <c r="F8" s="2"/>
      <c r="G8" s="2"/>
      <c r="H8" s="2"/>
      <c r="I8" s="2"/>
      <c r="J8" s="2"/>
      <c r="K8" s="2"/>
    </row>
    <row r="10" spans="2:16">
      <c r="C10" s="3" t="s">
        <v>16</v>
      </c>
    </row>
    <row r="12" spans="2:16">
      <c r="C12" s="4" t="s">
        <v>17</v>
      </c>
    </row>
    <row r="13" spans="2:16">
      <c r="C13" s="5"/>
      <c r="D13" s="5"/>
      <c r="E13" s="5"/>
      <c r="F13" s="5"/>
      <c r="G13" s="5"/>
      <c r="H13" s="6" t="s">
        <v>18</v>
      </c>
      <c r="I13" s="6" t="s">
        <v>18</v>
      </c>
      <c r="J13" s="6" t="s">
        <v>19</v>
      </c>
      <c r="K13" s="6" t="s">
        <v>20</v>
      </c>
    </row>
    <row r="14" spans="2:16" ht="16.2">
      <c r="C14" s="7" t="s">
        <v>21</v>
      </c>
      <c r="D14" s="7" t="s">
        <v>22</v>
      </c>
      <c r="E14" s="7" t="s">
        <v>23</v>
      </c>
      <c r="F14" s="7" t="s">
        <v>24</v>
      </c>
      <c r="G14" s="7" t="s">
        <v>25</v>
      </c>
      <c r="H14" s="8" t="s">
        <v>26</v>
      </c>
      <c r="I14" s="8" t="s">
        <v>26</v>
      </c>
      <c r="J14" s="8" t="s">
        <v>27</v>
      </c>
      <c r="K14" s="8" t="s">
        <v>28</v>
      </c>
    </row>
    <row r="15" spans="2:16">
      <c r="C15" s="9" t="s">
        <v>0</v>
      </c>
      <c r="D15" s="9" t="s">
        <v>29</v>
      </c>
      <c r="E15">
        <f>'comps -raw'!F13</f>
        <v>0</v>
      </c>
      <c r="F15">
        <f>'comps -raw'!E13</f>
        <v>59.71</v>
      </c>
      <c r="G15" s="10">
        <v>0.3</v>
      </c>
      <c r="H15" s="11">
        <f>IFERROR(E15/F15,0)</f>
        <v>0</v>
      </c>
      <c r="I15" s="11">
        <f>IFERROR(E15/(SUM(E15:F15)),0)</f>
        <v>0</v>
      </c>
      <c r="J15" s="12">
        <f>'beta sj corpoation'!L14</f>
        <v>-0.19059290336194648</v>
      </c>
      <c r="K15" s="13">
        <f>J15/(1+(1-G15)*H15)</f>
        <v>-0.19059290336194648</v>
      </c>
    </row>
    <row r="16" spans="2:16">
      <c r="C16" s="9" t="s">
        <v>216</v>
      </c>
      <c r="D16" s="9" t="s">
        <v>29</v>
      </c>
      <c r="E16">
        <f>'comps -raw'!F14</f>
        <v>28.57</v>
      </c>
      <c r="F16">
        <f>'comps -raw'!E14</f>
        <v>125.36</v>
      </c>
      <c r="G16" s="10">
        <v>0.3</v>
      </c>
      <c r="H16" s="11">
        <f>IFERROR(E16/F16,0)</f>
        <v>0.22790363752393109</v>
      </c>
      <c r="I16" s="11">
        <f>IFERROR(E16/(SUM(E16:F16)),0)</f>
        <v>0.18560384590398232</v>
      </c>
      <c r="J16" s="12">
        <f>'Narbada beta'!J21</f>
        <v>0.34097492564534876</v>
      </c>
      <c r="K16" s="13">
        <f>J16/(1+(1-G16)*H16)</f>
        <v>0.29406240190769695</v>
      </c>
    </row>
    <row r="17" spans="3:11">
      <c r="C17" s="9" t="s">
        <v>217</v>
      </c>
      <c r="D17" s="9" t="s">
        <v>29</v>
      </c>
      <c r="E17">
        <f>'comps -raw'!F15</f>
        <v>38.75</v>
      </c>
      <c r="F17">
        <f>'comps -raw'!E15</f>
        <v>118.17</v>
      </c>
      <c r="G17" s="10">
        <v>0.3</v>
      </c>
      <c r="H17" s="11">
        <f>IFERROR(E17/F17,0)</f>
        <v>0.32791740712532791</v>
      </c>
      <c r="I17" s="11">
        <f>IFERROR(E17/(SUM(E17:F17)),0)</f>
        <v>0.24694111649248021</v>
      </c>
      <c r="J17" s="12">
        <f>'Moksh BETA'!J15</f>
        <v>0.58487445127711202</v>
      </c>
      <c r="K17" s="13">
        <f>J17/(1+(1-G17)*H17)</f>
        <v>0.47568473730972388</v>
      </c>
    </row>
    <row r="18" spans="3:11" ht="17.399999999999999" thickBot="1">
      <c r="C18" s="9" t="s">
        <v>218</v>
      </c>
      <c r="D18" s="9" t="s">
        <v>29</v>
      </c>
      <c r="E18">
        <f>'comps -raw'!F16</f>
        <v>1.23</v>
      </c>
      <c r="F18">
        <f>'comps -raw'!E16</f>
        <v>59.1</v>
      </c>
      <c r="G18" s="10">
        <v>0.3</v>
      </c>
      <c r="H18" s="11">
        <f>IFERROR(E18/F18,0)</f>
        <v>2.081218274111675E-2</v>
      </c>
      <c r="I18" s="11">
        <f>IFERROR(E18/(SUM(E18:F18)),0)</f>
        <v>2.0387866732968673E-2</v>
      </c>
      <c r="J18" s="14">
        <f>'Mishka Exim Ltd'!J15</f>
        <v>0.69271189399689348</v>
      </c>
      <c r="K18" s="13">
        <f>J18/(1+(1-G18)*H18)</f>
        <v>0.68276501284528957</v>
      </c>
    </row>
    <row r="19" spans="3:11" ht="17.399999999999999" thickBot="1">
      <c r="C19" s="9" t="s">
        <v>717</v>
      </c>
      <c r="D19" s="9" t="s">
        <v>29</v>
      </c>
      <c r="E19">
        <f>'comps -raw'!F17</f>
        <v>0.81</v>
      </c>
      <c r="F19">
        <f>'comps -raw'!E17</f>
        <v>64.86</v>
      </c>
      <c r="G19" s="10">
        <v>0.3</v>
      </c>
      <c r="H19" s="11">
        <f>IFERROR(E19/F19,0)</f>
        <v>1.2488436632747457E-2</v>
      </c>
      <c r="I19" s="11">
        <f>IFERROR(E19/(SUM(E19:F19)),0)</f>
        <v>1.2334399269072637E-2</v>
      </c>
      <c r="J19" s="14">
        <f>'Guru BETA'!K21</f>
        <v>0.22452639704623695</v>
      </c>
      <c r="K19" s="13">
        <f>J19/(1+(1-G19)*H19)</f>
        <v>0.22258061828326117</v>
      </c>
    </row>
    <row r="20" spans="3:11">
      <c r="C20" s="9"/>
      <c r="D20" s="15"/>
      <c r="F20" s="16"/>
      <c r="G20" s="17"/>
      <c r="H20" s="17"/>
      <c r="I20" s="17"/>
      <c r="J20" s="17"/>
      <c r="K20" s="17"/>
    </row>
    <row r="22" spans="3:11">
      <c r="F22" s="18" t="s">
        <v>30</v>
      </c>
      <c r="G22" s="19">
        <f>AVERAGE(G15:G19)</f>
        <v>0.3</v>
      </c>
      <c r="H22" s="19">
        <f>AVERAGE(H15:H19)</f>
        <v>0.11782433280462463</v>
      </c>
      <c r="I22" s="20">
        <f>AVERAGE(I15:I19)</f>
        <v>9.305344567970078E-2</v>
      </c>
      <c r="J22" s="21">
        <f>AVERAGE(J15:J19)</f>
        <v>0.33049895292072895</v>
      </c>
      <c r="K22" s="21">
        <f>AVERAGE(K15:K19)</f>
        <v>0.29689997339680502</v>
      </c>
    </row>
    <row r="23" spans="3:11">
      <c r="F23" s="22" t="s">
        <v>31</v>
      </c>
      <c r="G23" s="23">
        <f>MEDIAN(G15:G19)</f>
        <v>0.3</v>
      </c>
      <c r="H23" s="24">
        <f>MEDIAN(H15:H19)</f>
        <v>2.081218274111675E-2</v>
      </c>
      <c r="I23" s="24">
        <f>MEDIAN(I15:I19)</f>
        <v>2.0387866732968673E-2</v>
      </c>
      <c r="J23" s="25">
        <f>MEDIAN(J15:J19)</f>
        <v>0.34097492564534876</v>
      </c>
      <c r="K23" s="25">
        <f>MEDIAN(K15:K19)</f>
        <v>0.29406240190769695</v>
      </c>
    </row>
    <row r="26" spans="3:11">
      <c r="I26" s="4"/>
    </row>
    <row r="27" spans="3:11">
      <c r="C27" s="22" t="s">
        <v>32</v>
      </c>
      <c r="D27" s="7"/>
      <c r="E27" s="7"/>
      <c r="F27" s="7"/>
      <c r="H27" s="22" t="s">
        <v>33</v>
      </c>
      <c r="I27" s="7"/>
      <c r="J27" s="7"/>
      <c r="K27" s="7"/>
    </row>
    <row r="29" spans="3:11">
      <c r="C29" t="s">
        <v>34</v>
      </c>
      <c r="F29" s="10">
        <f>IFERROR(120/E15,0)</f>
        <v>0</v>
      </c>
      <c r="G29" s="26"/>
      <c r="H29" t="s">
        <v>35</v>
      </c>
      <c r="K29" s="10">
        <v>6.6949999999999996E-2</v>
      </c>
    </row>
    <row r="30" spans="3:11">
      <c r="C30" t="s">
        <v>36</v>
      </c>
      <c r="F30" s="26">
        <f>G16</f>
        <v>0.3</v>
      </c>
      <c r="G30" s="26"/>
      <c r="H30" t="s">
        <v>37</v>
      </c>
      <c r="K30" s="10">
        <f>'market return'!U12-dccf!K29</f>
        <v>7.6354761904761939E-2</v>
      </c>
    </row>
    <row r="31" spans="3:11" ht="16.2">
      <c r="C31" s="27" t="s">
        <v>38</v>
      </c>
      <c r="D31" s="27"/>
      <c r="E31" s="27"/>
      <c r="F31" s="28">
        <f>F29*(1-F30)</f>
        <v>0</v>
      </c>
      <c r="G31" s="26"/>
      <c r="H31" s="29" t="s">
        <v>39</v>
      </c>
      <c r="I31" s="29"/>
      <c r="J31" s="29"/>
      <c r="K31" s="30">
        <f>K40</f>
        <v>0.30122536894832191</v>
      </c>
    </row>
    <row r="32" spans="3:11">
      <c r="H32" t="s">
        <v>33</v>
      </c>
      <c r="K32" s="31">
        <f>K29+K30*K31</f>
        <v>8.9949991325723178E-2</v>
      </c>
    </row>
    <row r="35" spans="3:11">
      <c r="C35" s="22" t="s">
        <v>40</v>
      </c>
      <c r="D35" s="7"/>
      <c r="E35" s="7"/>
      <c r="F35" s="7"/>
      <c r="H35" s="22" t="s">
        <v>41</v>
      </c>
      <c r="I35" s="7"/>
      <c r="J35" s="7"/>
      <c r="K35" s="7"/>
    </row>
    <row r="36" spans="3:11">
      <c r="C36" s="4"/>
    </row>
    <row r="37" spans="3:11">
      <c r="E37" s="32" t="s">
        <v>42</v>
      </c>
      <c r="F37" s="32" t="s">
        <v>43</v>
      </c>
      <c r="H37" t="s">
        <v>44</v>
      </c>
      <c r="K37" s="33">
        <f>K22</f>
        <v>0.29689997339680502</v>
      </c>
    </row>
    <row r="38" spans="3:11">
      <c r="C38" t="s">
        <v>45</v>
      </c>
      <c r="D38" s="16">
        <f>E15</f>
        <v>0</v>
      </c>
      <c r="E38" s="34">
        <f>H15</f>
        <v>0</v>
      </c>
      <c r="F38" s="10">
        <f>I23</f>
        <v>2.0387866732968673E-2</v>
      </c>
      <c r="H38" t="s">
        <v>46</v>
      </c>
      <c r="K38" s="26">
        <f>F43</f>
        <v>2.0812182741116753E-2</v>
      </c>
    </row>
    <row r="39" spans="3:11">
      <c r="C39" t="s">
        <v>47</v>
      </c>
      <c r="D39" s="16">
        <f>F15</f>
        <v>59.71</v>
      </c>
      <c r="E39" s="34">
        <f>D39/$D$40</f>
        <v>1</v>
      </c>
      <c r="F39" s="34">
        <f>F40-F38</f>
        <v>0.97961213326703134</v>
      </c>
      <c r="H39" t="s">
        <v>48</v>
      </c>
      <c r="K39" s="26">
        <f>G16</f>
        <v>0.3</v>
      </c>
    </row>
    <row r="40" spans="3:11">
      <c r="C40" s="35" t="s">
        <v>49</v>
      </c>
      <c r="D40" s="36">
        <f>IFERROR(SUM(D38:D39),0)</f>
        <v>59.71</v>
      </c>
      <c r="E40" s="37">
        <f>100%</f>
        <v>1</v>
      </c>
      <c r="F40" s="37">
        <f>100%</f>
        <v>1</v>
      </c>
      <c r="H40" s="35" t="s">
        <v>50</v>
      </c>
      <c r="I40" s="35"/>
      <c r="J40" s="35"/>
      <c r="K40" s="38">
        <f>K37*(1+(1-K39)*K38)</f>
        <v>0.30122536894832191</v>
      </c>
    </row>
    <row r="43" spans="3:11">
      <c r="C43" t="s">
        <v>51</v>
      </c>
      <c r="D43" t="s">
        <v>52</v>
      </c>
      <c r="E43" s="11">
        <f>IFERROR(E38/E39,0)</f>
        <v>0</v>
      </c>
      <c r="F43" s="11">
        <f>IFERROR(F38/F39,0)</f>
        <v>2.0812182741116753E-2</v>
      </c>
      <c r="H43" s="39" t="s">
        <v>53</v>
      </c>
      <c r="I43" s="29"/>
      <c r="J43" s="29"/>
      <c r="K43" s="29"/>
    </row>
    <row r="44" spans="3:11">
      <c r="E44" s="11"/>
      <c r="F44" s="11"/>
    </row>
    <row r="45" spans="3:11">
      <c r="C45" s="40" t="s">
        <v>54</v>
      </c>
      <c r="D45" s="41"/>
      <c r="E45" s="41"/>
      <c r="H45" t="s">
        <v>55</v>
      </c>
      <c r="K45" s="42">
        <f>K32</f>
        <v>8.9949991325723178E-2</v>
      </c>
    </row>
    <row r="46" spans="3:11">
      <c r="C46" s="43" t="s">
        <v>56</v>
      </c>
      <c r="D46" s="44"/>
      <c r="E46" s="44"/>
      <c r="H46" t="s">
        <v>57</v>
      </c>
      <c r="K46" s="26">
        <f>E39</f>
        <v>1</v>
      </c>
    </row>
    <row r="47" spans="3:11">
      <c r="C47" s="43" t="s">
        <v>58</v>
      </c>
      <c r="D47" s="44"/>
      <c r="E47" s="44"/>
      <c r="K47" s="42"/>
    </row>
    <row r="48" spans="3:11">
      <c r="C48" s="43" t="s">
        <v>59</v>
      </c>
      <c r="D48" s="44"/>
      <c r="E48" s="44"/>
      <c r="H48" t="s">
        <v>32</v>
      </c>
      <c r="K48" s="26">
        <f>F31</f>
        <v>0</v>
      </c>
    </row>
    <row r="49" spans="8:11">
      <c r="H49" t="s">
        <v>60</v>
      </c>
      <c r="K49" s="26">
        <f>F38</f>
        <v>2.0387866732968673E-2</v>
      </c>
    </row>
    <row r="51" spans="8:11">
      <c r="H51" s="45" t="s">
        <v>61</v>
      </c>
      <c r="I51" s="45"/>
      <c r="J51" s="45"/>
      <c r="K51" s="46">
        <f>(K45*K46)+(K48*K49)</f>
        <v>8.9949991325723178E-2</v>
      </c>
    </row>
  </sheetData>
  <mergeCells count="1">
    <mergeCell ref="B1:P7"/>
  </mergeCells>
  <pageMargins left="0.7" right="0.7" top="0.75" bottom="0.75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9AEC-6716-49D4-82E2-F149568EBD56}">
  <dimension ref="B2:V35"/>
  <sheetViews>
    <sheetView showGridLines="0" topLeftCell="A3" workbookViewId="0">
      <selection activeCell="G10" sqref="G10"/>
    </sheetView>
  </sheetViews>
  <sheetFormatPr defaultRowHeight="14.4"/>
  <cols>
    <col min="1" max="1" width="1.88671875" customWidth="1"/>
    <col min="11" max="11" width="6" bestFit="1" customWidth="1"/>
    <col min="20" max="20" width="17.6640625" bestFit="1" customWidth="1"/>
  </cols>
  <sheetData>
    <row r="2" spans="2:22">
      <c r="B2" s="80"/>
      <c r="C2" s="80"/>
      <c r="D2" s="80"/>
      <c r="E2" s="80"/>
      <c r="F2" s="80"/>
      <c r="G2" s="80"/>
      <c r="H2" s="80"/>
      <c r="I2" s="80"/>
      <c r="J2" s="80"/>
    </row>
    <row r="3" spans="2:22">
      <c r="B3" s="80"/>
      <c r="C3" s="80"/>
      <c r="D3" s="80"/>
      <c r="E3" s="80"/>
      <c r="F3" s="80"/>
      <c r="G3" s="80"/>
      <c r="H3" s="80"/>
      <c r="I3" s="80"/>
      <c r="J3" s="80"/>
    </row>
    <row r="4" spans="2:22">
      <c r="B4" s="80"/>
      <c r="C4" s="80"/>
      <c r="D4" s="80"/>
      <c r="E4" s="80"/>
      <c r="F4" s="80"/>
      <c r="G4" s="80"/>
      <c r="H4" s="80"/>
      <c r="I4" s="80"/>
      <c r="J4" s="80"/>
    </row>
    <row r="5" spans="2:22" ht="15" thickBot="1">
      <c r="B5" s="80"/>
      <c r="C5" s="80"/>
      <c r="D5" s="80"/>
      <c r="E5" s="80"/>
      <c r="F5" s="80"/>
      <c r="G5" s="80"/>
      <c r="H5" s="80"/>
      <c r="I5" s="80"/>
      <c r="J5" s="80"/>
    </row>
    <row r="6" spans="2:22">
      <c r="B6" s="63" t="s">
        <v>834</v>
      </c>
      <c r="C6" s="63"/>
      <c r="D6" s="63"/>
      <c r="E6" s="63"/>
      <c r="F6" s="63"/>
      <c r="J6" s="73"/>
      <c r="K6" s="74"/>
      <c r="L6" s="75"/>
      <c r="M6" s="74"/>
      <c r="N6" s="76"/>
      <c r="P6" s="68">
        <v>7.6300000000000007E-2</v>
      </c>
      <c r="Q6" s="62" t="s">
        <v>830</v>
      </c>
      <c r="R6" s="62"/>
    </row>
    <row r="7" spans="2:22">
      <c r="B7" s="78"/>
      <c r="C7" s="78"/>
      <c r="D7" s="78"/>
      <c r="E7" s="78"/>
      <c r="F7" s="78"/>
      <c r="J7" s="73"/>
      <c r="K7" s="74"/>
      <c r="L7" s="75"/>
      <c r="M7" s="74"/>
      <c r="N7" s="76"/>
      <c r="P7" s="63" t="s">
        <v>833</v>
      </c>
      <c r="Q7" s="63"/>
      <c r="R7" s="63"/>
      <c r="S7" s="63"/>
      <c r="T7" s="63"/>
    </row>
    <row r="8" spans="2:22" ht="15" thickBot="1">
      <c r="B8" s="78"/>
      <c r="C8" s="78"/>
      <c r="D8" s="78"/>
      <c r="E8" s="78"/>
      <c r="F8" s="78"/>
      <c r="J8" s="73"/>
      <c r="K8" s="74"/>
      <c r="L8" s="75"/>
      <c r="M8" s="74"/>
      <c r="N8" s="76"/>
      <c r="P8" s="63"/>
      <c r="Q8" s="63"/>
      <c r="R8" s="63"/>
      <c r="S8" s="63"/>
      <c r="T8" s="63"/>
    </row>
    <row r="9" spans="2:22" ht="15" thickBot="1">
      <c r="B9" s="61" t="s">
        <v>824</v>
      </c>
      <c r="C9" t="s">
        <v>825</v>
      </c>
      <c r="J9" s="73"/>
      <c r="K9" s="74"/>
      <c r="L9" s="75"/>
      <c r="M9" s="74"/>
      <c r="N9" s="76"/>
      <c r="P9" s="69">
        <v>2026</v>
      </c>
      <c r="Q9" s="70"/>
      <c r="R9" s="71">
        <v>-2.24E-2</v>
      </c>
    </row>
    <row r="10" spans="2:22" ht="15" thickBot="1">
      <c r="B10" s="51">
        <v>2000</v>
      </c>
      <c r="C10" s="34">
        <v>-0.14649999999999999</v>
      </c>
      <c r="E10" t="s">
        <v>826</v>
      </c>
      <c r="G10" s="26">
        <f>AVERAGE(C10:C35)</f>
        <v>0.1514923076923077</v>
      </c>
      <c r="H10" s="26">
        <f>MEDIAN(C10:C35)</f>
        <v>0.11349999999999999</v>
      </c>
      <c r="J10" s="73"/>
      <c r="K10" s="74"/>
      <c r="L10" s="75"/>
      <c r="M10" s="74"/>
      <c r="N10" s="76"/>
      <c r="P10" s="69">
        <v>2025</v>
      </c>
      <c r="Q10" s="70"/>
      <c r="R10" s="72">
        <v>9.06E-2</v>
      </c>
      <c r="T10" t="s">
        <v>831</v>
      </c>
      <c r="U10" s="26">
        <f>AVERAGE(R9:R29)</f>
        <v>0.14330476190476193</v>
      </c>
    </row>
    <row r="11" spans="2:22" ht="16.8" thickBot="1">
      <c r="B11" s="51">
        <v>2001</v>
      </c>
      <c r="C11" s="34">
        <v>-0.1618</v>
      </c>
      <c r="E11" t="s">
        <v>827</v>
      </c>
      <c r="G11" s="64" t="s">
        <v>828</v>
      </c>
      <c r="J11" s="73"/>
      <c r="K11" s="74"/>
      <c r="L11" s="75"/>
      <c r="M11" s="74"/>
      <c r="N11" s="76"/>
      <c r="P11" s="69">
        <v>2024</v>
      </c>
      <c r="Q11" s="70"/>
      <c r="R11" s="72">
        <v>8.1699999999999995E-2</v>
      </c>
      <c r="T11" t="s">
        <v>827</v>
      </c>
      <c r="U11" s="79" t="s">
        <v>832</v>
      </c>
    </row>
    <row r="12" spans="2:22" ht="15" thickBot="1">
      <c r="B12" s="51">
        <v>2002</v>
      </c>
      <c r="C12" s="34">
        <v>3.2500000000000001E-2</v>
      </c>
      <c r="E12" s="65" t="s">
        <v>829</v>
      </c>
      <c r="F12" s="65"/>
      <c r="G12" s="66">
        <f>SUM(G10:G11)</f>
        <v>0.1514923076923077</v>
      </c>
      <c r="J12" s="73"/>
      <c r="K12" s="74"/>
      <c r="L12" s="75"/>
      <c r="M12" s="74"/>
      <c r="N12" s="76"/>
      <c r="P12" s="69">
        <v>2023</v>
      </c>
      <c r="Q12" s="70"/>
      <c r="R12" s="72">
        <v>0.18740000000000001</v>
      </c>
      <c r="T12" s="65" t="s">
        <v>829</v>
      </c>
      <c r="U12" s="66">
        <f>SUM(U10:U11)</f>
        <v>0.14330476190476193</v>
      </c>
      <c r="V12" s="66"/>
    </row>
    <row r="13" spans="2:22" ht="15" thickBot="1">
      <c r="B13" s="51">
        <v>2003</v>
      </c>
      <c r="C13" s="34">
        <v>0.71900000000000008</v>
      </c>
      <c r="J13" s="73"/>
      <c r="K13" s="74"/>
      <c r="L13" s="75"/>
      <c r="M13" s="74"/>
      <c r="N13" s="77"/>
      <c r="P13" s="69">
        <v>2022</v>
      </c>
      <c r="Q13" s="70"/>
      <c r="R13" s="72">
        <v>4.4400000000000002E-2</v>
      </c>
    </row>
    <row r="14" spans="2:22" ht="15" thickBot="1">
      <c r="B14" s="51">
        <v>2004</v>
      </c>
      <c r="C14" s="34">
        <v>0.10679999999999999</v>
      </c>
      <c r="J14" s="73"/>
      <c r="K14" s="74"/>
      <c r="L14" s="75"/>
      <c r="M14" s="74"/>
      <c r="N14" s="76"/>
      <c r="P14" s="69">
        <v>2021</v>
      </c>
      <c r="Q14" s="70"/>
      <c r="R14" s="72">
        <v>0.21990000000000001</v>
      </c>
      <c r="U14" s="26"/>
    </row>
    <row r="15" spans="2:22" ht="15" thickBot="1">
      <c r="B15" s="51">
        <v>2005</v>
      </c>
      <c r="C15" s="34">
        <v>0.36340000000000006</v>
      </c>
      <c r="J15" s="73"/>
      <c r="K15" s="74"/>
      <c r="L15" s="75"/>
      <c r="M15" s="74"/>
      <c r="N15" s="76"/>
      <c r="P15" s="69">
        <v>2020</v>
      </c>
      <c r="Q15" s="70"/>
      <c r="R15" s="72">
        <v>0.1575</v>
      </c>
    </row>
    <row r="16" spans="2:22" ht="15" thickBot="1">
      <c r="B16" s="51">
        <v>2006</v>
      </c>
      <c r="C16" s="34">
        <v>0.39829999999999999</v>
      </c>
      <c r="J16" s="73"/>
      <c r="K16" s="74"/>
      <c r="L16" s="75"/>
      <c r="M16" s="74"/>
      <c r="N16" s="77"/>
      <c r="P16" s="69">
        <v>2019</v>
      </c>
      <c r="Q16" s="70"/>
      <c r="R16" s="72">
        <v>0.14380000000000001</v>
      </c>
    </row>
    <row r="17" spans="2:18" ht="15" thickBot="1">
      <c r="B17" s="51">
        <v>2007</v>
      </c>
      <c r="C17" s="34">
        <v>0.54770000000000008</v>
      </c>
      <c r="J17" s="73"/>
      <c r="K17" s="74"/>
      <c r="L17" s="75"/>
      <c r="M17" s="74"/>
      <c r="N17" s="76"/>
      <c r="P17" s="69">
        <v>2018</v>
      </c>
      <c r="Q17" s="70"/>
      <c r="R17" s="72">
        <v>5.91E-2</v>
      </c>
    </row>
    <row r="18" spans="2:18" ht="15" thickBot="1">
      <c r="B18" s="51">
        <v>2008</v>
      </c>
      <c r="C18" s="34">
        <v>-0.51790000000000003</v>
      </c>
      <c r="J18" s="73"/>
      <c r="K18" s="74"/>
      <c r="L18" s="75"/>
      <c r="M18" s="74"/>
      <c r="N18" s="76"/>
      <c r="P18" s="69">
        <v>2017</v>
      </c>
      <c r="Q18" s="70"/>
      <c r="R18" s="72">
        <v>0.27910000000000001</v>
      </c>
    </row>
    <row r="19" spans="2:18" ht="15" thickBot="1">
      <c r="B19" s="51">
        <v>2009</v>
      </c>
      <c r="C19" s="34">
        <v>0.75760000000000005</v>
      </c>
      <c r="G19" s="67"/>
      <c r="J19" s="73"/>
      <c r="K19" s="74"/>
      <c r="L19" s="75"/>
      <c r="M19" s="74"/>
      <c r="N19" s="76"/>
      <c r="P19" s="69">
        <v>2016</v>
      </c>
      <c r="Q19" s="70"/>
      <c r="R19" s="72">
        <v>1.95E-2</v>
      </c>
    </row>
    <row r="20" spans="2:18" ht="15" thickBot="1">
      <c r="B20" s="51">
        <v>2010</v>
      </c>
      <c r="C20" s="34">
        <v>0.17949999999999999</v>
      </c>
      <c r="J20" s="73"/>
      <c r="K20" s="74"/>
      <c r="L20" s="75"/>
      <c r="M20" s="74"/>
      <c r="N20" s="77"/>
      <c r="P20" s="69">
        <v>2015</v>
      </c>
      <c r="Q20" s="70"/>
      <c r="R20" s="71">
        <v>-5.0299999999999997E-2</v>
      </c>
    </row>
    <row r="21" spans="2:18" ht="15" thickBot="1">
      <c r="B21" s="51">
        <v>2011</v>
      </c>
      <c r="C21" s="34">
        <v>-0.2462</v>
      </c>
      <c r="J21" s="73"/>
      <c r="K21" s="74"/>
      <c r="L21" s="75"/>
      <c r="M21" s="74"/>
      <c r="N21" s="76"/>
      <c r="P21" s="69">
        <v>2014</v>
      </c>
      <c r="Q21" s="70"/>
      <c r="R21" s="72">
        <v>0.2989</v>
      </c>
    </row>
    <row r="22" spans="2:18" ht="15" thickBot="1">
      <c r="B22" s="51">
        <v>2012</v>
      </c>
      <c r="C22" s="34">
        <v>0.27699999999999997</v>
      </c>
      <c r="J22" s="73"/>
      <c r="K22" s="74"/>
      <c r="L22" s="75"/>
      <c r="M22" s="74"/>
      <c r="N22" s="76"/>
      <c r="P22" s="69">
        <v>2013</v>
      </c>
      <c r="Q22" s="70"/>
      <c r="R22" s="72">
        <v>8.9800000000000005E-2</v>
      </c>
    </row>
    <row r="23" spans="2:18" ht="15" thickBot="1">
      <c r="B23" s="51">
        <v>2013</v>
      </c>
      <c r="C23" s="34">
        <v>6.7599999999999993E-2</v>
      </c>
      <c r="J23" s="73"/>
      <c r="K23" s="74"/>
      <c r="L23" s="75"/>
      <c r="M23" s="74"/>
      <c r="N23" s="76"/>
      <c r="P23" s="69">
        <v>2012</v>
      </c>
      <c r="Q23" s="70"/>
      <c r="R23" s="72">
        <v>0.25700000000000001</v>
      </c>
    </row>
    <row r="24" spans="2:18" ht="15" thickBot="1">
      <c r="B24" s="51">
        <v>2014</v>
      </c>
      <c r="C24" s="34">
        <v>0.31390000000000001</v>
      </c>
      <c r="J24" s="73"/>
      <c r="K24" s="74"/>
      <c r="L24" s="75"/>
      <c r="M24" s="74"/>
      <c r="N24" s="77"/>
      <c r="P24" s="69">
        <v>2011</v>
      </c>
      <c r="Q24" s="70"/>
      <c r="R24" s="71">
        <v>-0.24640000000000001</v>
      </c>
    </row>
    <row r="25" spans="2:18" ht="15" thickBot="1">
      <c r="B25" s="51">
        <v>2015</v>
      </c>
      <c r="C25" s="34">
        <v>-4.0599999999999997E-2</v>
      </c>
      <c r="J25" s="73"/>
      <c r="K25" s="74"/>
      <c r="L25" s="75"/>
      <c r="M25" s="74"/>
      <c r="N25" s="76"/>
      <c r="P25" s="69">
        <v>2010</v>
      </c>
      <c r="Q25" s="70"/>
      <c r="R25" s="72">
        <v>0.17430000000000001</v>
      </c>
    </row>
    <row r="26" spans="2:18" ht="15" thickBot="1">
      <c r="B26" s="51">
        <v>2016</v>
      </c>
      <c r="C26" s="34">
        <v>3.0099999999999998E-2</v>
      </c>
      <c r="J26" s="73"/>
      <c r="K26" s="74"/>
      <c r="L26" s="75"/>
      <c r="M26" s="74"/>
      <c r="N26" s="76"/>
      <c r="P26" s="69">
        <v>2009</v>
      </c>
      <c r="Q26" s="70"/>
      <c r="R26" s="72">
        <v>0.81030000000000002</v>
      </c>
    </row>
    <row r="27" spans="2:18" ht="15" thickBot="1">
      <c r="B27" s="51">
        <v>2017</v>
      </c>
      <c r="C27" s="34">
        <v>0.28649999999999998</v>
      </c>
      <c r="J27" s="73"/>
      <c r="K27" s="74"/>
      <c r="L27" s="75"/>
      <c r="M27" s="74"/>
      <c r="N27" s="77"/>
      <c r="P27" s="69">
        <v>2008</v>
      </c>
      <c r="Q27" s="70"/>
      <c r="R27" s="71">
        <v>-0.52449999999999997</v>
      </c>
    </row>
    <row r="28" spans="2:18" ht="15" thickBot="1">
      <c r="B28" s="51">
        <v>2018</v>
      </c>
      <c r="C28" s="34">
        <v>3.15E-2</v>
      </c>
      <c r="J28" s="81"/>
      <c r="K28" s="81"/>
      <c r="L28" s="81"/>
      <c r="M28" s="81"/>
      <c r="N28" s="76"/>
      <c r="P28" s="69">
        <v>2007</v>
      </c>
      <c r="Q28" s="70"/>
      <c r="R28" s="72">
        <v>0.47149999999999997</v>
      </c>
    </row>
    <row r="29" spans="2:18">
      <c r="B29" s="51">
        <v>2019</v>
      </c>
      <c r="C29" s="34">
        <v>0.1202</v>
      </c>
      <c r="P29" s="69">
        <v>2006</v>
      </c>
      <c r="Q29" s="70"/>
      <c r="R29" s="72">
        <v>0.46820000000000001</v>
      </c>
    </row>
    <row r="30" spans="2:18">
      <c r="B30" s="51">
        <v>2020</v>
      </c>
      <c r="C30" s="34">
        <v>0.14899999999999999</v>
      </c>
    </row>
    <row r="31" spans="2:18">
      <c r="B31" s="51">
        <v>2021</v>
      </c>
      <c r="C31" s="34">
        <v>0.2412</v>
      </c>
    </row>
    <row r="32" spans="2:18">
      <c r="B32" s="51">
        <v>2022</v>
      </c>
      <c r="C32" s="34">
        <v>4.3200000000000002E-2</v>
      </c>
    </row>
    <row r="33" spans="2:3">
      <c r="B33" s="51">
        <v>2023</v>
      </c>
      <c r="C33" s="34">
        <v>0.19420000000000001</v>
      </c>
    </row>
    <row r="34" spans="2:3">
      <c r="B34" s="51">
        <v>2024</v>
      </c>
      <c r="C34" s="34">
        <v>8.7499999999999994E-2</v>
      </c>
    </row>
    <row r="35" spans="2:3">
      <c r="B35" s="51">
        <v>2025</v>
      </c>
      <c r="C35" s="34">
        <v>0.1051</v>
      </c>
    </row>
  </sheetData>
  <mergeCells count="2">
    <mergeCell ref="B2:J5"/>
    <mergeCell ref="J28:M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E9D4-62A9-4B4E-92B7-610E5A5F03D5}">
  <dimension ref="B2:BI139"/>
  <sheetViews>
    <sheetView showGridLines="0" tabSelected="1" topLeftCell="AN18" zoomScale="91" workbookViewId="0">
      <selection activeCell="BC33" sqref="BC33"/>
    </sheetView>
  </sheetViews>
  <sheetFormatPr defaultRowHeight="14.4"/>
  <cols>
    <col min="1" max="1" width="1.88671875" customWidth="1"/>
    <col min="2" max="2" width="9.88671875" bestFit="1" customWidth="1"/>
    <col min="7" max="7" width="11.44140625" bestFit="1" customWidth="1"/>
    <col min="8" max="8" width="10.5546875" bestFit="1" customWidth="1"/>
    <col min="9" max="9" width="9.5546875" bestFit="1" customWidth="1"/>
    <col min="10" max="10" width="10.5546875" bestFit="1" customWidth="1"/>
    <col min="13" max="13" width="9.88671875" bestFit="1" customWidth="1"/>
    <col min="22" max="22" width="10.5546875" bestFit="1" customWidth="1"/>
    <col min="31" max="31" width="10.5546875" bestFit="1" customWidth="1"/>
    <col min="39" max="39" width="10.5546875" bestFit="1" customWidth="1"/>
    <col min="47" max="47" width="11.5546875" bestFit="1" customWidth="1"/>
    <col min="55" max="55" width="11.5546875" bestFit="1" customWidth="1"/>
  </cols>
  <sheetData>
    <row r="2" spans="2:28">
      <c r="B2" t="s">
        <v>62</v>
      </c>
      <c r="C2" t="s">
        <v>67</v>
      </c>
      <c r="D2" t="s">
        <v>66</v>
      </c>
      <c r="E2" t="s">
        <v>68</v>
      </c>
      <c r="F2" t="s">
        <v>66</v>
      </c>
      <c r="G2" t="s">
        <v>62</v>
      </c>
      <c r="H2" t="s">
        <v>67</v>
      </c>
      <c r="I2" t="s">
        <v>68</v>
      </c>
      <c r="J2" t="s">
        <v>66</v>
      </c>
      <c r="M2" t="s">
        <v>62</v>
      </c>
      <c r="N2" t="s">
        <v>67</v>
      </c>
      <c r="O2" t="s">
        <v>68</v>
      </c>
      <c r="P2" t="s">
        <v>63</v>
      </c>
      <c r="Q2" t="s">
        <v>64</v>
      </c>
      <c r="R2" t="s">
        <v>65</v>
      </c>
      <c r="S2" t="s">
        <v>66</v>
      </c>
    </row>
    <row r="3" spans="2:28">
      <c r="B3" s="47" t="s">
        <v>132</v>
      </c>
      <c r="C3" s="33">
        <v>68.069999999999993</v>
      </c>
      <c r="D3" s="33">
        <v>6807</v>
      </c>
      <c r="E3" s="33">
        <v>1525</v>
      </c>
      <c r="F3" s="33">
        <v>6807</v>
      </c>
      <c r="G3" t="s">
        <v>132</v>
      </c>
      <c r="H3" s="33">
        <v>8226978</v>
      </c>
      <c r="I3" s="33">
        <v>97600</v>
      </c>
      <c r="J3" s="33">
        <v>8226978</v>
      </c>
      <c r="M3" s="47">
        <v>46048</v>
      </c>
      <c r="N3" s="33">
        <v>68.069999999999993</v>
      </c>
      <c r="O3" s="48">
        <v>1525</v>
      </c>
      <c r="P3">
        <v>65</v>
      </c>
      <c r="Q3">
        <v>68.069999999999993</v>
      </c>
      <c r="R3">
        <v>61.75</v>
      </c>
      <c r="S3">
        <v>68.069999999999993</v>
      </c>
      <c r="V3" t="s">
        <v>62</v>
      </c>
    </row>
    <row r="4" spans="2:28">
      <c r="B4" s="47" t="s">
        <v>133</v>
      </c>
      <c r="C4" s="33">
        <v>65</v>
      </c>
      <c r="D4" s="33">
        <v>6500</v>
      </c>
      <c r="E4" s="33" t="s">
        <v>69</v>
      </c>
      <c r="F4" s="33">
        <v>6500</v>
      </c>
      <c r="G4" t="s">
        <v>133</v>
      </c>
      <c r="H4" s="33">
        <v>8153770</v>
      </c>
      <c r="I4" s="33">
        <v>86600</v>
      </c>
      <c r="J4" s="33">
        <v>8153770</v>
      </c>
      <c r="M4" s="47">
        <v>46041</v>
      </c>
      <c r="N4" s="33">
        <v>65</v>
      </c>
      <c r="O4" t="s">
        <v>69</v>
      </c>
      <c r="P4">
        <v>65</v>
      </c>
      <c r="Q4">
        <v>65</v>
      </c>
      <c r="R4">
        <v>65</v>
      </c>
      <c r="S4">
        <v>65</v>
      </c>
    </row>
    <row r="5" spans="2:28">
      <c r="B5" s="47" t="s">
        <v>134</v>
      </c>
      <c r="C5" s="33">
        <v>65</v>
      </c>
      <c r="D5" s="33">
        <v>6500</v>
      </c>
      <c r="E5" s="33" t="s">
        <v>69</v>
      </c>
      <c r="F5" s="33">
        <v>6500</v>
      </c>
      <c r="G5" t="s">
        <v>134</v>
      </c>
      <c r="H5" s="33">
        <v>8357035</v>
      </c>
      <c r="I5" s="33">
        <v>60400</v>
      </c>
      <c r="J5" s="33">
        <v>8357035</v>
      </c>
      <c r="M5" s="47">
        <v>46034</v>
      </c>
      <c r="N5" s="33">
        <v>65</v>
      </c>
      <c r="O5" t="s">
        <v>69</v>
      </c>
      <c r="P5">
        <v>65</v>
      </c>
      <c r="Q5">
        <v>65</v>
      </c>
      <c r="R5">
        <v>65</v>
      </c>
      <c r="S5">
        <v>65</v>
      </c>
      <c r="V5" t="s">
        <v>219</v>
      </c>
    </row>
    <row r="6" spans="2:28">
      <c r="B6" s="47" t="s">
        <v>135</v>
      </c>
      <c r="C6" s="33">
        <v>65</v>
      </c>
      <c r="D6" s="33">
        <v>6500</v>
      </c>
      <c r="E6" s="33" t="s">
        <v>69</v>
      </c>
      <c r="F6" s="33">
        <v>6500</v>
      </c>
      <c r="G6" t="s">
        <v>135</v>
      </c>
      <c r="H6" s="33">
        <v>8357624</v>
      </c>
      <c r="I6" s="33">
        <v>93900</v>
      </c>
      <c r="J6" s="33">
        <v>8357624</v>
      </c>
      <c r="M6" s="47">
        <v>46027</v>
      </c>
      <c r="N6" s="33">
        <v>65</v>
      </c>
      <c r="O6" t="s">
        <v>69</v>
      </c>
      <c r="P6">
        <v>65</v>
      </c>
      <c r="Q6">
        <v>65</v>
      </c>
      <c r="R6">
        <v>65</v>
      </c>
      <c r="S6">
        <v>65</v>
      </c>
    </row>
    <row r="7" spans="2:28">
      <c r="B7" s="47" t="s">
        <v>136</v>
      </c>
      <c r="C7" s="33">
        <v>65</v>
      </c>
      <c r="D7" s="33">
        <v>6500</v>
      </c>
      <c r="E7" s="33">
        <v>150</v>
      </c>
      <c r="F7" s="33">
        <v>6500</v>
      </c>
      <c r="G7" t="s">
        <v>136</v>
      </c>
      <c r="H7" s="33">
        <v>8576201</v>
      </c>
      <c r="I7" s="33">
        <v>110300</v>
      </c>
      <c r="J7" s="33">
        <v>8576201</v>
      </c>
      <c r="M7" s="47">
        <v>46020</v>
      </c>
      <c r="N7" s="33">
        <v>65</v>
      </c>
      <c r="O7">
        <v>150</v>
      </c>
      <c r="P7">
        <v>65</v>
      </c>
      <c r="Q7">
        <v>65</v>
      </c>
      <c r="R7">
        <v>65</v>
      </c>
      <c r="S7">
        <v>65</v>
      </c>
      <c r="V7" t="s">
        <v>63</v>
      </c>
    </row>
    <row r="8" spans="2:28">
      <c r="B8" s="47" t="s">
        <v>137</v>
      </c>
      <c r="C8" s="33">
        <v>65</v>
      </c>
      <c r="D8" s="33">
        <v>6500</v>
      </c>
      <c r="E8" s="33" t="s">
        <v>69</v>
      </c>
      <c r="F8" s="33">
        <v>6500</v>
      </c>
      <c r="G8" t="s">
        <v>137</v>
      </c>
      <c r="H8" s="33">
        <v>8504145</v>
      </c>
      <c r="I8" s="33">
        <v>25400</v>
      </c>
      <c r="J8" s="33">
        <v>8504145</v>
      </c>
      <c r="M8" s="47">
        <v>46013</v>
      </c>
      <c r="N8" s="33">
        <v>65</v>
      </c>
      <c r="O8" t="s">
        <v>69</v>
      </c>
      <c r="P8">
        <v>65</v>
      </c>
      <c r="Q8">
        <v>65</v>
      </c>
      <c r="R8">
        <v>65</v>
      </c>
      <c r="S8">
        <v>65</v>
      </c>
    </row>
    <row r="9" spans="2:28">
      <c r="B9" s="47" t="s">
        <v>138</v>
      </c>
      <c r="C9" s="33">
        <v>65</v>
      </c>
      <c r="D9" s="33">
        <v>6500</v>
      </c>
      <c r="E9" s="33" t="s">
        <v>69</v>
      </c>
      <c r="F9" s="33">
        <v>6500</v>
      </c>
      <c r="G9" t="s">
        <v>138</v>
      </c>
      <c r="H9" s="33">
        <v>8492936</v>
      </c>
      <c r="I9" s="33">
        <v>54500</v>
      </c>
      <c r="J9" s="33">
        <v>8492936</v>
      </c>
      <c r="M9" s="47">
        <v>46006</v>
      </c>
      <c r="N9" s="33">
        <v>65</v>
      </c>
      <c r="O9" t="s">
        <v>69</v>
      </c>
      <c r="P9">
        <v>65</v>
      </c>
      <c r="Q9">
        <v>65</v>
      </c>
      <c r="R9">
        <v>65</v>
      </c>
      <c r="S9">
        <v>65</v>
      </c>
      <c r="V9" t="s">
        <v>64</v>
      </c>
    </row>
    <row r="10" spans="2:28">
      <c r="B10" s="47" t="s">
        <v>139</v>
      </c>
      <c r="C10" s="33">
        <v>65</v>
      </c>
      <c r="D10" s="33">
        <v>6500</v>
      </c>
      <c r="E10" s="33" t="s">
        <v>69</v>
      </c>
      <c r="F10" s="33">
        <v>6500</v>
      </c>
      <c r="G10" t="s">
        <v>139</v>
      </c>
      <c r="H10" s="33">
        <v>8526766</v>
      </c>
      <c r="I10" s="33">
        <v>52000</v>
      </c>
      <c r="J10" s="33">
        <v>8526766</v>
      </c>
      <c r="M10" s="47">
        <v>45999</v>
      </c>
      <c r="N10" s="33">
        <v>65</v>
      </c>
      <c r="O10" t="s">
        <v>69</v>
      </c>
      <c r="P10">
        <v>65</v>
      </c>
      <c r="Q10">
        <v>65</v>
      </c>
      <c r="R10">
        <v>65</v>
      </c>
      <c r="S10">
        <v>65</v>
      </c>
    </row>
    <row r="11" spans="2:28">
      <c r="B11" s="47" t="s">
        <v>140</v>
      </c>
      <c r="C11" s="33">
        <v>65</v>
      </c>
      <c r="D11" s="33">
        <v>6500</v>
      </c>
      <c r="E11" s="33" t="s">
        <v>69</v>
      </c>
      <c r="F11" s="33">
        <v>6500</v>
      </c>
      <c r="G11" t="s">
        <v>140</v>
      </c>
      <c r="H11" s="33">
        <v>8571237</v>
      </c>
      <c r="I11" s="33">
        <v>57500</v>
      </c>
      <c r="J11" s="33">
        <v>8571237</v>
      </c>
      <c r="M11" s="47">
        <v>45992</v>
      </c>
      <c r="N11" s="33">
        <v>65</v>
      </c>
      <c r="O11" t="s">
        <v>69</v>
      </c>
      <c r="P11">
        <v>65</v>
      </c>
      <c r="Q11">
        <v>65</v>
      </c>
      <c r="R11">
        <v>65</v>
      </c>
      <c r="S11">
        <v>65</v>
      </c>
      <c r="V11" t="s">
        <v>65</v>
      </c>
    </row>
    <row r="12" spans="2:28">
      <c r="B12" s="47" t="s">
        <v>141</v>
      </c>
      <c r="C12" s="33">
        <v>65</v>
      </c>
      <c r="D12" s="33">
        <v>6500</v>
      </c>
      <c r="E12" s="33" t="s">
        <v>69</v>
      </c>
      <c r="F12" s="33">
        <v>6500</v>
      </c>
      <c r="G12" t="s">
        <v>141</v>
      </c>
      <c r="H12" s="33">
        <v>8570667</v>
      </c>
      <c r="I12" s="33">
        <v>51800</v>
      </c>
      <c r="J12" s="33">
        <v>8570667</v>
      </c>
      <c r="M12" s="47">
        <v>45985</v>
      </c>
      <c r="N12" s="33">
        <v>65</v>
      </c>
      <c r="O12" t="s">
        <v>69</v>
      </c>
      <c r="P12">
        <v>65</v>
      </c>
      <c r="Q12">
        <v>65</v>
      </c>
      <c r="R12">
        <v>65</v>
      </c>
      <c r="S12">
        <v>65</v>
      </c>
    </row>
    <row r="13" spans="2:28">
      <c r="B13" s="47" t="s">
        <v>142</v>
      </c>
      <c r="C13" s="33">
        <v>65</v>
      </c>
      <c r="D13" s="33">
        <v>6500</v>
      </c>
      <c r="E13" s="33" t="s">
        <v>69</v>
      </c>
      <c r="F13" s="33">
        <v>6500</v>
      </c>
      <c r="G13" t="s">
        <v>142</v>
      </c>
      <c r="H13" s="33">
        <v>8523192</v>
      </c>
      <c r="I13" s="33">
        <v>68600</v>
      </c>
      <c r="J13" s="33">
        <v>8523192</v>
      </c>
      <c r="M13" s="47">
        <v>45978</v>
      </c>
      <c r="N13" s="33">
        <v>65</v>
      </c>
      <c r="O13" t="s">
        <v>69</v>
      </c>
      <c r="P13">
        <v>65</v>
      </c>
      <c r="Q13">
        <v>65</v>
      </c>
      <c r="R13">
        <v>65</v>
      </c>
      <c r="S13">
        <v>65</v>
      </c>
      <c r="V13" t="s">
        <v>220</v>
      </c>
    </row>
    <row r="14" spans="2:28">
      <c r="B14" s="47" t="s">
        <v>143</v>
      </c>
      <c r="C14" s="33">
        <v>65</v>
      </c>
      <c r="D14" s="33">
        <v>6500</v>
      </c>
      <c r="E14" s="33" t="s">
        <v>69</v>
      </c>
      <c r="F14" s="33">
        <v>6500</v>
      </c>
      <c r="G14" t="s">
        <v>143</v>
      </c>
      <c r="H14" s="33">
        <v>8456278</v>
      </c>
      <c r="I14" s="33">
        <v>71900</v>
      </c>
      <c r="J14" s="33">
        <v>8456278</v>
      </c>
      <c r="M14" s="47">
        <v>45971</v>
      </c>
      <c r="N14" s="33">
        <v>65</v>
      </c>
      <c r="O14" t="s">
        <v>69</v>
      </c>
      <c r="P14">
        <v>65</v>
      </c>
      <c r="Q14">
        <v>65</v>
      </c>
      <c r="R14">
        <v>65</v>
      </c>
      <c r="S14">
        <v>65</v>
      </c>
    </row>
    <row r="15" spans="2:28">
      <c r="B15" s="47" t="s">
        <v>144</v>
      </c>
      <c r="C15" s="33">
        <v>65</v>
      </c>
      <c r="D15" s="33">
        <v>6500</v>
      </c>
      <c r="E15" s="33" t="s">
        <v>69</v>
      </c>
      <c r="F15" s="33">
        <v>6500</v>
      </c>
      <c r="G15" t="s">
        <v>144</v>
      </c>
      <c r="H15" s="33">
        <v>8321628</v>
      </c>
      <c r="I15" s="33">
        <v>44600</v>
      </c>
      <c r="J15" s="33">
        <v>8321628</v>
      </c>
      <c r="M15" s="47">
        <v>45964</v>
      </c>
      <c r="N15" s="33">
        <v>65</v>
      </c>
      <c r="O15" t="s">
        <v>69</v>
      </c>
      <c r="P15">
        <v>65</v>
      </c>
      <c r="Q15">
        <v>65</v>
      </c>
      <c r="R15">
        <v>65</v>
      </c>
      <c r="S15">
        <v>65</v>
      </c>
      <c r="V15" t="s">
        <v>64</v>
      </c>
      <c r="W15" t="str">
        <f>V5</f>
        <v>Price</v>
      </c>
      <c r="X15" t="s">
        <v>63</v>
      </c>
      <c r="Y15" t="s">
        <v>64</v>
      </c>
      <c r="Z15" t="s">
        <v>65</v>
      </c>
      <c r="AA15">
        <f>AA3</f>
        <v>0</v>
      </c>
    </row>
    <row r="16" spans="2:28">
      <c r="B16" s="47" t="s">
        <v>145</v>
      </c>
      <c r="C16" s="33">
        <v>65</v>
      </c>
      <c r="D16" s="33">
        <v>6500</v>
      </c>
      <c r="E16" s="33" t="s">
        <v>69</v>
      </c>
      <c r="F16" s="33">
        <v>6500</v>
      </c>
      <c r="G16" t="s">
        <v>145</v>
      </c>
      <c r="H16" s="33">
        <v>8393871</v>
      </c>
      <c r="I16" s="33">
        <v>66000</v>
      </c>
      <c r="J16" s="33">
        <v>8393871</v>
      </c>
      <c r="M16" s="47">
        <v>45957</v>
      </c>
      <c r="N16" s="33">
        <v>65</v>
      </c>
      <c r="O16" t="s">
        <v>69</v>
      </c>
      <c r="P16">
        <v>65</v>
      </c>
      <c r="Q16">
        <v>65</v>
      </c>
      <c r="R16">
        <v>65</v>
      </c>
      <c r="S16">
        <v>65</v>
      </c>
      <c r="V16" s="58">
        <v>46024</v>
      </c>
      <c r="W16">
        <v>58.09</v>
      </c>
      <c r="X16">
        <v>55.62</v>
      </c>
      <c r="Y16">
        <v>60.2</v>
      </c>
      <c r="Z16">
        <v>55.62</v>
      </c>
      <c r="AA16" t="s">
        <v>221</v>
      </c>
      <c r="AB16" s="26">
        <v>2.3599999999999999E-2</v>
      </c>
    </row>
    <row r="17" spans="2:61">
      <c r="B17" s="47" t="s">
        <v>146</v>
      </c>
      <c r="C17" s="33">
        <v>65</v>
      </c>
      <c r="D17" s="33">
        <v>6500</v>
      </c>
      <c r="E17" s="33">
        <v>188</v>
      </c>
      <c r="F17" s="33">
        <v>6500</v>
      </c>
      <c r="G17" t="s">
        <v>146</v>
      </c>
      <c r="H17" s="33">
        <v>8421188</v>
      </c>
      <c r="I17" s="33">
        <v>53600</v>
      </c>
      <c r="J17" s="33">
        <v>8421188</v>
      </c>
      <c r="M17" s="47">
        <v>45950</v>
      </c>
      <c r="N17" s="33">
        <v>65</v>
      </c>
      <c r="O17">
        <v>188</v>
      </c>
      <c r="P17">
        <v>65.61</v>
      </c>
      <c r="Q17">
        <v>65.61</v>
      </c>
      <c r="R17">
        <v>65</v>
      </c>
      <c r="S17">
        <v>65</v>
      </c>
      <c r="V17" s="58" t="s">
        <v>222</v>
      </c>
      <c r="W17">
        <v>56.75</v>
      </c>
      <c r="X17">
        <v>58.49</v>
      </c>
      <c r="Y17">
        <v>62.98</v>
      </c>
      <c r="Z17">
        <v>55.17</v>
      </c>
      <c r="AA17" t="s">
        <v>223</v>
      </c>
      <c r="AB17" s="26">
        <v>-2.4899999999999999E-2</v>
      </c>
    </row>
    <row r="18" spans="2:61">
      <c r="B18" s="47" t="s">
        <v>147</v>
      </c>
      <c r="C18" s="33">
        <v>64.97</v>
      </c>
      <c r="D18" s="33">
        <v>6497</v>
      </c>
      <c r="E18" s="33" t="s">
        <v>69</v>
      </c>
      <c r="F18" s="33">
        <v>6497</v>
      </c>
      <c r="G18" t="s">
        <v>147</v>
      </c>
      <c r="H18" s="33">
        <v>8395219</v>
      </c>
      <c r="I18" s="33">
        <v>73900</v>
      </c>
      <c r="J18" s="33">
        <v>8395219</v>
      </c>
      <c r="M18" s="47">
        <v>45943</v>
      </c>
      <c r="N18" s="33">
        <v>64.97</v>
      </c>
      <c r="O18" t="s">
        <v>69</v>
      </c>
      <c r="P18">
        <v>64.97</v>
      </c>
      <c r="Q18">
        <v>64.97</v>
      </c>
      <c r="R18">
        <v>64.97</v>
      </c>
      <c r="S18">
        <v>64.97</v>
      </c>
      <c r="V18" s="58" t="s">
        <v>224</v>
      </c>
      <c r="W18">
        <v>58.2</v>
      </c>
      <c r="X18">
        <v>61</v>
      </c>
      <c r="Y18">
        <v>63</v>
      </c>
      <c r="Z18">
        <v>56.1</v>
      </c>
      <c r="AA18" t="s">
        <v>225</v>
      </c>
      <c r="AB18" s="26">
        <v>-8.8900000000000007E-2</v>
      </c>
    </row>
    <row r="19" spans="2:61">
      <c r="B19" s="47" t="s">
        <v>148</v>
      </c>
      <c r="C19" s="33">
        <v>64.97</v>
      </c>
      <c r="D19" s="33">
        <v>6497</v>
      </c>
      <c r="E19" s="33" t="s">
        <v>69</v>
      </c>
      <c r="F19" s="33">
        <v>6497</v>
      </c>
      <c r="G19" t="s">
        <v>148</v>
      </c>
      <c r="H19" s="33">
        <v>8250082</v>
      </c>
      <c r="I19" s="33">
        <v>74800</v>
      </c>
      <c r="J19" s="33">
        <v>8250082</v>
      </c>
      <c r="M19" s="47">
        <v>45936</v>
      </c>
      <c r="N19" s="33">
        <v>64.97</v>
      </c>
      <c r="O19" t="s">
        <v>69</v>
      </c>
      <c r="P19">
        <v>64.97</v>
      </c>
      <c r="Q19">
        <v>64.97</v>
      </c>
      <c r="R19">
        <v>64.97</v>
      </c>
      <c r="S19">
        <v>64.97</v>
      </c>
      <c r="V19" s="58">
        <v>46327</v>
      </c>
      <c r="W19">
        <v>63.88</v>
      </c>
      <c r="X19">
        <v>64.180000000000007</v>
      </c>
      <c r="Y19">
        <v>64.5</v>
      </c>
      <c r="Z19">
        <v>59.23</v>
      </c>
      <c r="AA19" t="s">
        <v>226</v>
      </c>
      <c r="AB19" s="26">
        <v>-4.7000000000000002E-3</v>
      </c>
    </row>
    <row r="20" spans="2:61">
      <c r="B20" s="47" t="s">
        <v>149</v>
      </c>
      <c r="C20" s="33">
        <v>64.97</v>
      </c>
      <c r="D20" s="33">
        <v>6497</v>
      </c>
      <c r="E20" s="33" t="s">
        <v>69</v>
      </c>
      <c r="F20" s="33">
        <v>6497</v>
      </c>
      <c r="G20" t="s">
        <v>149</v>
      </c>
      <c r="H20" s="33">
        <v>8120717</v>
      </c>
      <c r="I20" s="33">
        <v>51600</v>
      </c>
      <c r="J20" s="33">
        <v>8120717</v>
      </c>
      <c r="M20" s="47">
        <v>45929</v>
      </c>
      <c r="N20" s="33">
        <v>64.97</v>
      </c>
      <c r="O20" t="s">
        <v>69</v>
      </c>
      <c r="P20">
        <v>64.97</v>
      </c>
      <c r="Q20">
        <v>64.97</v>
      </c>
      <c r="R20">
        <v>64.97</v>
      </c>
      <c r="S20">
        <v>64.97</v>
      </c>
      <c r="V20" s="58">
        <v>46113</v>
      </c>
      <c r="W20">
        <v>64.180000000000007</v>
      </c>
      <c r="X20">
        <v>65.7</v>
      </c>
      <c r="Y20">
        <v>69.5</v>
      </c>
      <c r="Z20">
        <v>61</v>
      </c>
      <c r="AA20" t="s">
        <v>227</v>
      </c>
      <c r="AB20" s="26">
        <v>1.34E-2</v>
      </c>
    </row>
    <row r="21" spans="2:61">
      <c r="B21" s="47" t="s">
        <v>150</v>
      </c>
      <c r="C21" s="33">
        <v>64.97</v>
      </c>
      <c r="D21" s="33">
        <v>6497</v>
      </c>
      <c r="E21" s="33" t="s">
        <v>69</v>
      </c>
      <c r="F21" s="33">
        <v>6497</v>
      </c>
      <c r="G21" t="s">
        <v>150</v>
      </c>
      <c r="H21" s="33">
        <v>8042646</v>
      </c>
      <c r="I21" s="33">
        <v>60200</v>
      </c>
      <c r="J21" s="33">
        <v>8042646</v>
      </c>
      <c r="M21" s="47">
        <v>45922</v>
      </c>
      <c r="N21" s="33">
        <v>64.97</v>
      </c>
      <c r="O21" t="s">
        <v>69</v>
      </c>
      <c r="P21">
        <v>64.97</v>
      </c>
      <c r="Q21">
        <v>64.97</v>
      </c>
      <c r="R21">
        <v>64.97</v>
      </c>
      <c r="S21">
        <v>64.97</v>
      </c>
      <c r="V21" s="58" t="s">
        <v>228</v>
      </c>
      <c r="W21">
        <v>63.33</v>
      </c>
      <c r="X21">
        <v>67</v>
      </c>
      <c r="Y21">
        <v>67</v>
      </c>
      <c r="Z21">
        <v>57</v>
      </c>
      <c r="AA21" t="s">
        <v>229</v>
      </c>
      <c r="AB21" s="26">
        <v>-8.6099999999999996E-2</v>
      </c>
    </row>
    <row r="22" spans="2:61">
      <c r="B22" s="47" t="s">
        <v>151</v>
      </c>
      <c r="C22" s="33">
        <v>64.97</v>
      </c>
      <c r="D22" s="33">
        <v>6497</v>
      </c>
      <c r="E22" s="33" t="s">
        <v>69</v>
      </c>
      <c r="F22" s="33">
        <v>6497</v>
      </c>
      <c r="G22" t="s">
        <v>151</v>
      </c>
      <c r="H22" s="33">
        <v>8262623</v>
      </c>
      <c r="I22" s="33">
        <v>57600</v>
      </c>
      <c r="J22" s="33">
        <v>8262623</v>
      </c>
      <c r="M22" s="47">
        <v>45915</v>
      </c>
      <c r="N22" s="33">
        <v>64.97</v>
      </c>
      <c r="O22" t="s">
        <v>69</v>
      </c>
      <c r="P22">
        <v>64.97</v>
      </c>
      <c r="Q22">
        <v>64.97</v>
      </c>
      <c r="R22">
        <v>64.97</v>
      </c>
      <c r="S22">
        <v>64.97</v>
      </c>
      <c r="V22" s="58" t="s">
        <v>230</v>
      </c>
      <c r="W22">
        <v>69.3</v>
      </c>
      <c r="X22">
        <v>64.98</v>
      </c>
      <c r="Y22">
        <v>69.5</v>
      </c>
      <c r="Z22">
        <v>59.72</v>
      </c>
      <c r="AA22" t="s">
        <v>231</v>
      </c>
      <c r="AB22" s="26">
        <v>8.6900000000000005E-2</v>
      </c>
    </row>
    <row r="23" spans="2:61">
      <c r="B23" s="47" t="s">
        <v>152</v>
      </c>
      <c r="C23" s="33">
        <v>64.97</v>
      </c>
      <c r="D23" s="33">
        <v>6497</v>
      </c>
      <c r="E23" s="33" t="s">
        <v>69</v>
      </c>
      <c r="F23" s="33">
        <v>6497</v>
      </c>
      <c r="G23" t="s">
        <v>152</v>
      </c>
      <c r="H23" s="33">
        <v>8190470</v>
      </c>
      <c r="I23" s="33">
        <v>51400</v>
      </c>
      <c r="J23" s="33">
        <v>8190470</v>
      </c>
      <c r="M23" s="47">
        <v>45908</v>
      </c>
      <c r="N23" s="33">
        <v>64.97</v>
      </c>
      <c r="O23" t="s">
        <v>69</v>
      </c>
      <c r="P23">
        <v>64.97</v>
      </c>
      <c r="Q23">
        <v>64.97</v>
      </c>
      <c r="R23">
        <v>64.97</v>
      </c>
      <c r="S23">
        <v>64.97</v>
      </c>
      <c r="V23" s="58" t="s">
        <v>232</v>
      </c>
      <c r="W23">
        <v>63.76</v>
      </c>
      <c r="X23">
        <v>65.010000000000005</v>
      </c>
      <c r="Y23">
        <v>70</v>
      </c>
      <c r="Z23">
        <v>57.2</v>
      </c>
      <c r="AA23" t="s">
        <v>233</v>
      </c>
      <c r="AB23" s="26">
        <v>-5.5800000000000002E-2</v>
      </c>
    </row>
    <row r="24" spans="2:61">
      <c r="B24" s="47" t="s">
        <v>153</v>
      </c>
      <c r="C24" s="33">
        <v>64.97</v>
      </c>
      <c r="D24" s="33">
        <v>6497</v>
      </c>
      <c r="E24" s="33" t="s">
        <v>69</v>
      </c>
      <c r="F24" s="33">
        <v>6497</v>
      </c>
      <c r="G24" t="s">
        <v>153</v>
      </c>
      <c r="H24" s="33">
        <v>8071076</v>
      </c>
      <c r="I24" s="33">
        <v>56500</v>
      </c>
      <c r="J24" s="33">
        <v>8071076</v>
      </c>
      <c r="M24" s="47">
        <v>45901</v>
      </c>
      <c r="N24" s="33">
        <v>64.97</v>
      </c>
      <c r="O24" t="s">
        <v>69</v>
      </c>
      <c r="P24">
        <v>64.97</v>
      </c>
      <c r="Q24">
        <v>64.97</v>
      </c>
      <c r="R24">
        <v>64.97</v>
      </c>
      <c r="S24">
        <v>64.97</v>
      </c>
      <c r="V24" s="58">
        <v>45850</v>
      </c>
      <c r="W24">
        <v>67.53</v>
      </c>
      <c r="X24">
        <v>69.39</v>
      </c>
      <c r="Y24">
        <v>70.5</v>
      </c>
      <c r="Z24">
        <v>64.3</v>
      </c>
      <c r="AA24" t="s">
        <v>234</v>
      </c>
      <c r="AB24" s="26">
        <v>-2.6800000000000001E-2</v>
      </c>
    </row>
    <row r="25" spans="2:61">
      <c r="B25" s="47" t="s">
        <v>154</v>
      </c>
      <c r="C25" s="33">
        <v>64.97</v>
      </c>
      <c r="D25" s="33">
        <v>6497</v>
      </c>
      <c r="E25" s="33">
        <v>1</v>
      </c>
      <c r="F25" s="33">
        <v>6497</v>
      </c>
      <c r="G25" t="s">
        <v>154</v>
      </c>
      <c r="H25" s="33">
        <v>7980965</v>
      </c>
      <c r="I25" s="33">
        <v>50500</v>
      </c>
      <c r="J25" s="33">
        <v>7980965</v>
      </c>
      <c r="M25" s="47">
        <v>45894</v>
      </c>
      <c r="N25" s="33">
        <v>64.97</v>
      </c>
      <c r="O25">
        <v>1</v>
      </c>
      <c r="P25">
        <v>64.97</v>
      </c>
      <c r="Q25">
        <v>64.97</v>
      </c>
      <c r="R25">
        <v>64.97</v>
      </c>
      <c r="S25">
        <v>64.97</v>
      </c>
      <c r="V25" s="58" t="s">
        <v>235</v>
      </c>
      <c r="W25">
        <v>69.39</v>
      </c>
      <c r="X25">
        <v>73.98</v>
      </c>
      <c r="Y25">
        <v>73.98</v>
      </c>
      <c r="Z25">
        <v>65.349999999999994</v>
      </c>
      <c r="AA25" t="s">
        <v>236</v>
      </c>
      <c r="AB25" s="26">
        <v>1.14E-2</v>
      </c>
    </row>
    <row r="26" spans="2:61">
      <c r="B26" s="47" t="s">
        <v>155</v>
      </c>
      <c r="C26" s="33">
        <v>58.94</v>
      </c>
      <c r="D26" s="33">
        <v>5894</v>
      </c>
      <c r="E26" s="33" t="s">
        <v>69</v>
      </c>
      <c r="F26" s="33">
        <v>5894</v>
      </c>
      <c r="G26" t="s">
        <v>155</v>
      </c>
      <c r="H26" s="33">
        <v>8130685</v>
      </c>
      <c r="I26" s="33">
        <v>56400</v>
      </c>
      <c r="J26" s="33">
        <v>8130685</v>
      </c>
      <c r="M26" s="47">
        <v>45887</v>
      </c>
      <c r="N26" s="33">
        <v>58.94</v>
      </c>
      <c r="O26" t="s">
        <v>69</v>
      </c>
      <c r="P26">
        <v>58.94</v>
      </c>
      <c r="Q26">
        <v>58.94</v>
      </c>
      <c r="R26">
        <v>58.94</v>
      </c>
      <c r="S26">
        <v>58.94</v>
      </c>
      <c r="V26" s="58" t="s">
        <v>237</v>
      </c>
      <c r="W26">
        <v>68.61</v>
      </c>
      <c r="X26">
        <v>66</v>
      </c>
      <c r="Y26">
        <v>69.400000000000006</v>
      </c>
      <c r="Z26">
        <v>66</v>
      </c>
      <c r="AA26" t="s">
        <v>238</v>
      </c>
      <c r="AB26" s="26">
        <v>-5.4999999999999997E-3</v>
      </c>
      <c r="AE26" s="80" t="s">
        <v>505</v>
      </c>
      <c r="AF26" s="80"/>
      <c r="AG26" s="80"/>
      <c r="AH26" s="80"/>
      <c r="AI26" s="80"/>
      <c r="AJ26" s="80"/>
    </row>
    <row r="27" spans="2:61">
      <c r="B27" s="47" t="s">
        <v>156</v>
      </c>
      <c r="C27" s="33">
        <v>58.94</v>
      </c>
      <c r="D27" s="33">
        <v>5894</v>
      </c>
      <c r="E27" s="33" t="s">
        <v>69</v>
      </c>
      <c r="F27" s="33">
        <v>5894</v>
      </c>
      <c r="G27" t="s">
        <v>156</v>
      </c>
      <c r="H27" s="33">
        <v>8059766</v>
      </c>
      <c r="I27" s="33">
        <v>38400</v>
      </c>
      <c r="J27" s="33">
        <v>8059766</v>
      </c>
      <c r="M27" s="47">
        <v>45880</v>
      </c>
      <c r="N27" s="33">
        <v>58.94</v>
      </c>
      <c r="O27" t="s">
        <v>69</v>
      </c>
      <c r="P27">
        <v>58.94</v>
      </c>
      <c r="Q27">
        <v>58.94</v>
      </c>
      <c r="R27">
        <v>58.94</v>
      </c>
      <c r="S27">
        <v>58.94</v>
      </c>
      <c r="V27" s="58" t="s">
        <v>239</v>
      </c>
      <c r="W27">
        <v>68.989999999999995</v>
      </c>
      <c r="X27">
        <v>74</v>
      </c>
      <c r="Y27">
        <v>77</v>
      </c>
      <c r="Z27">
        <v>68.5</v>
      </c>
      <c r="AA27" t="s">
        <v>240</v>
      </c>
      <c r="AB27" s="26">
        <v>-5.8900000000000001E-2</v>
      </c>
      <c r="AE27" s="80"/>
      <c r="AF27" s="80"/>
      <c r="AG27" s="80"/>
      <c r="AH27" s="80"/>
      <c r="AI27" s="80"/>
      <c r="AJ27" s="80"/>
    </row>
    <row r="28" spans="2:61">
      <c r="B28" s="47" t="s">
        <v>157</v>
      </c>
      <c r="C28" s="33">
        <v>58.94</v>
      </c>
      <c r="D28" s="33">
        <v>5894</v>
      </c>
      <c r="E28" s="33" t="s">
        <v>69</v>
      </c>
      <c r="F28" s="33">
        <v>5894</v>
      </c>
      <c r="G28" t="s">
        <v>157</v>
      </c>
      <c r="H28" s="33">
        <v>7985779</v>
      </c>
      <c r="I28" s="33">
        <v>86800</v>
      </c>
      <c r="J28" s="33">
        <v>7985779</v>
      </c>
      <c r="M28" s="47">
        <v>45873</v>
      </c>
      <c r="N28" s="33">
        <v>58.94</v>
      </c>
      <c r="O28" t="s">
        <v>69</v>
      </c>
      <c r="P28">
        <v>58.94</v>
      </c>
      <c r="Q28">
        <v>58.94</v>
      </c>
      <c r="R28">
        <v>58.94</v>
      </c>
      <c r="S28">
        <v>58.94</v>
      </c>
      <c r="V28" s="58">
        <v>45911</v>
      </c>
      <c r="W28">
        <v>73.31</v>
      </c>
      <c r="X28">
        <v>70.459999999999994</v>
      </c>
      <c r="Y28">
        <v>75</v>
      </c>
      <c r="Z28">
        <v>67.510000000000005</v>
      </c>
      <c r="AA28" t="s">
        <v>241</v>
      </c>
      <c r="AB28" s="26">
        <v>6.1499999999999999E-2</v>
      </c>
      <c r="AE28" s="80"/>
      <c r="AF28" s="80"/>
      <c r="AG28" s="80"/>
      <c r="AH28" s="80"/>
      <c r="AI28" s="80"/>
      <c r="AJ28" s="80"/>
    </row>
    <row r="29" spans="2:61">
      <c r="B29" s="47" t="s">
        <v>158</v>
      </c>
      <c r="C29" s="33">
        <v>58.94</v>
      </c>
      <c r="D29" s="33">
        <v>5894</v>
      </c>
      <c r="E29" s="33" t="s">
        <v>69</v>
      </c>
      <c r="F29" s="33">
        <v>5894</v>
      </c>
      <c r="G29" t="s">
        <v>158</v>
      </c>
      <c r="H29" s="33">
        <v>8059991</v>
      </c>
      <c r="I29" s="33">
        <v>49000</v>
      </c>
      <c r="J29" s="33">
        <v>8059991</v>
      </c>
      <c r="M29" s="47">
        <v>45866</v>
      </c>
      <c r="N29" s="33">
        <v>58.94</v>
      </c>
      <c r="O29" t="s">
        <v>69</v>
      </c>
      <c r="P29">
        <v>58.94</v>
      </c>
      <c r="Q29">
        <v>58.94</v>
      </c>
      <c r="R29">
        <v>58.94</v>
      </c>
      <c r="S29">
        <v>58.94</v>
      </c>
      <c r="V29" s="58">
        <v>45699</v>
      </c>
      <c r="W29">
        <v>69.06</v>
      </c>
      <c r="X29">
        <v>70.05</v>
      </c>
      <c r="Y29">
        <v>74.900000000000006</v>
      </c>
      <c r="Z29">
        <v>66.52</v>
      </c>
      <c r="AA29" t="s">
        <v>242</v>
      </c>
      <c r="AB29" s="26">
        <v>-5.3699999999999998E-2</v>
      </c>
      <c r="AE29" t="s">
        <v>62</v>
      </c>
      <c r="AF29" t="s">
        <v>219</v>
      </c>
      <c r="AG29" t="s">
        <v>219</v>
      </c>
      <c r="AH29" t="s">
        <v>219</v>
      </c>
      <c r="AI29" t="s">
        <v>219</v>
      </c>
    </row>
    <row r="30" spans="2:61">
      <c r="B30" s="47" t="s">
        <v>159</v>
      </c>
      <c r="C30" s="33">
        <v>58.94</v>
      </c>
      <c r="D30" s="33">
        <v>5894</v>
      </c>
      <c r="E30" s="33" t="s">
        <v>69</v>
      </c>
      <c r="F30" s="33">
        <v>5894</v>
      </c>
      <c r="G30" t="s">
        <v>159</v>
      </c>
      <c r="H30" s="33">
        <v>8146309</v>
      </c>
      <c r="I30" s="33">
        <v>73300</v>
      </c>
      <c r="J30" s="33">
        <v>8146309</v>
      </c>
      <c r="M30" s="47">
        <v>45859</v>
      </c>
      <c r="N30" s="33">
        <v>58.94</v>
      </c>
      <c r="O30" t="s">
        <v>69</v>
      </c>
      <c r="P30">
        <v>58.94</v>
      </c>
      <c r="Q30">
        <v>58.94</v>
      </c>
      <c r="R30">
        <v>58.94</v>
      </c>
      <c r="S30">
        <v>58.94</v>
      </c>
      <c r="V30" s="58" t="s">
        <v>243</v>
      </c>
      <c r="W30">
        <v>72.98</v>
      </c>
      <c r="X30">
        <v>75</v>
      </c>
      <c r="Y30">
        <v>77</v>
      </c>
      <c r="Z30">
        <v>68.400000000000006</v>
      </c>
      <c r="AA30" t="s">
        <v>244</v>
      </c>
      <c r="AB30" s="26">
        <v>3.8999999999999998E-3</v>
      </c>
      <c r="AE30" s="58">
        <v>46024</v>
      </c>
      <c r="AF30" s="60">
        <v>83817.69</v>
      </c>
      <c r="AG30" s="60">
        <v>82388.97</v>
      </c>
      <c r="AH30" s="60">
        <v>85871.73</v>
      </c>
      <c r="AI30" s="60">
        <v>79899.42</v>
      </c>
      <c r="AJ30" t="s">
        <v>396</v>
      </c>
      <c r="AK30" s="26">
        <v>1.8800000000000001E-2</v>
      </c>
      <c r="AM30" t="s">
        <v>62</v>
      </c>
      <c r="AO30" t="s">
        <v>63</v>
      </c>
      <c r="AP30" t="s">
        <v>64</v>
      </c>
      <c r="AQ30" t="s">
        <v>65</v>
      </c>
      <c r="AV30" t="s">
        <v>63</v>
      </c>
      <c r="AW30" t="s">
        <v>64</v>
      </c>
      <c r="AX30" t="s">
        <v>65</v>
      </c>
      <c r="BD30" t="s">
        <v>63</v>
      </c>
      <c r="BE30" t="s">
        <v>64</v>
      </c>
      <c r="BF30" t="s">
        <v>65</v>
      </c>
    </row>
    <row r="31" spans="2:61">
      <c r="B31" s="47" t="s">
        <v>160</v>
      </c>
      <c r="C31" s="33">
        <v>58.94</v>
      </c>
      <c r="D31" s="33">
        <v>5894</v>
      </c>
      <c r="E31" s="33">
        <v>20</v>
      </c>
      <c r="F31" s="33">
        <v>5894</v>
      </c>
      <c r="G31" t="s">
        <v>160</v>
      </c>
      <c r="H31" s="33">
        <v>8175773</v>
      </c>
      <c r="I31" s="33">
        <v>52700</v>
      </c>
      <c r="J31" s="33">
        <v>8175773</v>
      </c>
      <c r="M31" s="47">
        <v>45852</v>
      </c>
      <c r="N31" s="33">
        <v>58.94</v>
      </c>
      <c r="O31">
        <v>20</v>
      </c>
      <c r="P31">
        <v>56.14</v>
      </c>
      <c r="Q31">
        <v>58.94</v>
      </c>
      <c r="R31">
        <v>56.14</v>
      </c>
      <c r="S31">
        <v>58.94</v>
      </c>
      <c r="V31" s="58" t="s">
        <v>245</v>
      </c>
      <c r="W31">
        <v>72.7</v>
      </c>
      <c r="X31">
        <v>69.95</v>
      </c>
      <c r="Y31">
        <v>75.8</v>
      </c>
      <c r="Z31">
        <v>68</v>
      </c>
      <c r="AA31" t="s">
        <v>246</v>
      </c>
      <c r="AB31" s="26">
        <v>3.9300000000000002E-2</v>
      </c>
      <c r="AE31" t="s">
        <v>222</v>
      </c>
      <c r="AF31" s="33">
        <v>82269.78</v>
      </c>
      <c r="AG31" s="60">
        <v>81436.789999999994</v>
      </c>
      <c r="AH31" s="60">
        <v>82689.960000000006</v>
      </c>
      <c r="AI31" s="60">
        <v>81088.59</v>
      </c>
      <c r="AJ31" t="s">
        <v>397</v>
      </c>
      <c r="AK31" s="26">
        <v>8.9999999999999993E-3</v>
      </c>
      <c r="AM31" s="58">
        <v>46024</v>
      </c>
      <c r="AN31">
        <v>13.39</v>
      </c>
      <c r="AO31">
        <v>13.41</v>
      </c>
      <c r="AP31">
        <v>14.3</v>
      </c>
      <c r="AQ31">
        <v>13</v>
      </c>
      <c r="AR31" t="s">
        <v>506</v>
      </c>
      <c r="AS31" s="26">
        <v>-2.6200000000000001E-2</v>
      </c>
      <c r="AU31" s="58">
        <v>46024</v>
      </c>
      <c r="AV31" s="33">
        <v>40.9</v>
      </c>
      <c r="AW31">
        <v>41.51</v>
      </c>
      <c r="AX31">
        <v>43.15</v>
      </c>
      <c r="AY31">
        <v>40.9</v>
      </c>
      <c r="AZ31" t="s">
        <v>610</v>
      </c>
      <c r="BA31" s="26">
        <v>4.8999999999999998E-3</v>
      </c>
      <c r="BC31" s="58">
        <v>46024</v>
      </c>
      <c r="BD31" s="33">
        <v>43.13</v>
      </c>
      <c r="BE31">
        <v>41.2</v>
      </c>
      <c r="BF31">
        <v>44.98</v>
      </c>
      <c r="BG31">
        <v>39.5</v>
      </c>
      <c r="BH31" t="s">
        <v>718</v>
      </c>
      <c r="BI31" s="26">
        <v>4.0300000000000002E-2</v>
      </c>
    </row>
    <row r="32" spans="2:61">
      <c r="B32" s="47" t="s">
        <v>161</v>
      </c>
      <c r="C32" s="33">
        <v>56.14</v>
      </c>
      <c r="D32" s="33">
        <v>5614</v>
      </c>
      <c r="E32" s="33" t="s">
        <v>69</v>
      </c>
      <c r="F32" s="33">
        <v>5614</v>
      </c>
      <c r="G32" t="s">
        <v>161</v>
      </c>
      <c r="H32" s="33">
        <v>8250047</v>
      </c>
      <c r="I32" s="33">
        <v>47500</v>
      </c>
      <c r="J32" s="33">
        <v>8250047</v>
      </c>
      <c r="M32" s="47">
        <v>45845</v>
      </c>
      <c r="N32" s="33">
        <v>56.14</v>
      </c>
      <c r="O32" t="s">
        <v>69</v>
      </c>
      <c r="P32">
        <v>56.14</v>
      </c>
      <c r="Q32">
        <v>56.14</v>
      </c>
      <c r="R32">
        <v>56.14</v>
      </c>
      <c r="S32">
        <v>56.14</v>
      </c>
      <c r="V32" s="58">
        <v>46001</v>
      </c>
      <c r="W32">
        <v>69.95</v>
      </c>
      <c r="X32">
        <v>72.41</v>
      </c>
      <c r="Y32">
        <v>72.41</v>
      </c>
      <c r="Z32">
        <v>67.5</v>
      </c>
      <c r="AA32" t="s">
        <v>247</v>
      </c>
      <c r="AB32" s="26">
        <v>-3.8800000000000001E-2</v>
      </c>
      <c r="AE32" t="s">
        <v>224</v>
      </c>
      <c r="AF32" s="33">
        <v>81537.7</v>
      </c>
      <c r="AG32" s="60">
        <v>83494.490000000005</v>
      </c>
      <c r="AH32" s="60">
        <v>83539.929999999993</v>
      </c>
      <c r="AI32" s="60">
        <v>81124.45</v>
      </c>
      <c r="AJ32" t="s">
        <v>398</v>
      </c>
      <c r="AK32" s="26">
        <v>-2.4299999999999999E-2</v>
      </c>
      <c r="AM32" t="s">
        <v>222</v>
      </c>
      <c r="AN32">
        <v>13.75</v>
      </c>
      <c r="AO32">
        <v>14.15</v>
      </c>
      <c r="AP32">
        <v>14.49</v>
      </c>
      <c r="AQ32">
        <v>13.51</v>
      </c>
      <c r="AR32" t="s">
        <v>507</v>
      </c>
      <c r="AS32" s="26">
        <v>-3.3700000000000001E-2</v>
      </c>
      <c r="AU32" t="s">
        <v>222</v>
      </c>
      <c r="AV32" s="33">
        <v>40.700000000000003</v>
      </c>
      <c r="AW32">
        <v>43.95</v>
      </c>
      <c r="AX32">
        <v>44.2</v>
      </c>
      <c r="AY32">
        <v>40.1</v>
      </c>
      <c r="AZ32" t="s">
        <v>611</v>
      </c>
      <c r="BA32" s="26">
        <v>-7.3899999999999993E-2</v>
      </c>
      <c r="BC32" s="79" t="s">
        <v>222</v>
      </c>
      <c r="BD32" s="84">
        <v>41.46</v>
      </c>
      <c r="BE32">
        <v>44.49</v>
      </c>
      <c r="BF32">
        <v>44.49</v>
      </c>
      <c r="BG32">
        <v>40</v>
      </c>
      <c r="BH32" t="s">
        <v>719</v>
      </c>
      <c r="BI32" s="26">
        <v>-4.7300000000000002E-2</v>
      </c>
    </row>
    <row r="33" spans="2:61">
      <c r="B33" s="47" t="s">
        <v>162</v>
      </c>
      <c r="C33" s="33">
        <v>56.14</v>
      </c>
      <c r="D33" s="33">
        <v>5614</v>
      </c>
      <c r="E33" s="33" t="s">
        <v>69</v>
      </c>
      <c r="F33" s="33">
        <v>5614</v>
      </c>
      <c r="G33" t="s">
        <v>162</v>
      </c>
      <c r="H33" s="33">
        <v>8343289</v>
      </c>
      <c r="I33" s="33">
        <v>54300</v>
      </c>
      <c r="J33" s="33">
        <v>8343289</v>
      </c>
      <c r="M33" s="47">
        <v>45838</v>
      </c>
      <c r="N33" s="33">
        <v>56.14</v>
      </c>
      <c r="O33" t="s">
        <v>69</v>
      </c>
      <c r="P33">
        <v>56.14</v>
      </c>
      <c r="Q33">
        <v>56.14</v>
      </c>
      <c r="R33">
        <v>56.14</v>
      </c>
      <c r="S33">
        <v>56.14</v>
      </c>
      <c r="V33" s="58">
        <v>45787</v>
      </c>
      <c r="W33">
        <v>72.77</v>
      </c>
      <c r="X33">
        <v>71</v>
      </c>
      <c r="Y33">
        <v>77</v>
      </c>
      <c r="Z33">
        <v>66.540000000000006</v>
      </c>
      <c r="AA33" t="s">
        <v>248</v>
      </c>
      <c r="AB33" s="26">
        <v>4.5199999999999997E-2</v>
      </c>
      <c r="AE33" s="58">
        <v>46327</v>
      </c>
      <c r="AF33" s="33">
        <v>83570.350000000006</v>
      </c>
      <c r="AG33" s="60">
        <v>83435.31</v>
      </c>
      <c r="AH33" s="60">
        <v>84258.03</v>
      </c>
      <c r="AI33" s="60">
        <v>82861.070000000007</v>
      </c>
      <c r="AJ33" t="s">
        <v>399</v>
      </c>
      <c r="AK33" s="26">
        <v>-1E-4</v>
      </c>
      <c r="AM33" t="s">
        <v>224</v>
      </c>
      <c r="AN33">
        <v>14.23</v>
      </c>
      <c r="AO33">
        <v>14.58</v>
      </c>
      <c r="AP33">
        <v>14.98</v>
      </c>
      <c r="AQ33">
        <v>13.8</v>
      </c>
      <c r="AR33" t="s">
        <v>508</v>
      </c>
      <c r="AS33" s="26">
        <v>-3.5299999999999998E-2</v>
      </c>
      <c r="AU33" t="s">
        <v>224</v>
      </c>
      <c r="AV33" s="33">
        <v>43.95</v>
      </c>
      <c r="AW33">
        <v>44.2</v>
      </c>
      <c r="AX33">
        <v>46.49</v>
      </c>
      <c r="AY33">
        <v>42</v>
      </c>
      <c r="AZ33" t="s">
        <v>612</v>
      </c>
      <c r="BA33" s="26">
        <v>-5.7000000000000002E-3</v>
      </c>
      <c r="BC33" s="79" t="s">
        <v>224</v>
      </c>
      <c r="BD33" s="84">
        <v>43.52</v>
      </c>
      <c r="BE33">
        <v>44.4</v>
      </c>
      <c r="BF33">
        <v>45</v>
      </c>
      <c r="BG33">
        <v>40.83</v>
      </c>
      <c r="BH33" t="s">
        <v>720</v>
      </c>
      <c r="BI33" s="26">
        <v>1.52E-2</v>
      </c>
    </row>
    <row r="34" spans="2:61">
      <c r="B34" s="47" t="s">
        <v>163</v>
      </c>
      <c r="C34" s="33">
        <v>56.14</v>
      </c>
      <c r="D34" s="33">
        <v>5614</v>
      </c>
      <c r="E34" s="33" t="s">
        <v>69</v>
      </c>
      <c r="F34" s="33">
        <v>5614</v>
      </c>
      <c r="G34" t="s">
        <v>163</v>
      </c>
      <c r="H34" s="33">
        <v>8405890</v>
      </c>
      <c r="I34" s="33">
        <v>153900</v>
      </c>
      <c r="J34" s="33">
        <v>8405890</v>
      </c>
      <c r="M34" s="47">
        <v>45831</v>
      </c>
      <c r="N34" s="33">
        <v>56.14</v>
      </c>
      <c r="O34" t="s">
        <v>69</v>
      </c>
      <c r="P34">
        <v>56.14</v>
      </c>
      <c r="Q34">
        <v>56.14</v>
      </c>
      <c r="R34">
        <v>56.14</v>
      </c>
      <c r="S34">
        <v>56.14</v>
      </c>
      <c r="V34" s="58" t="s">
        <v>249</v>
      </c>
      <c r="W34">
        <v>69.62</v>
      </c>
      <c r="X34">
        <v>64.150000000000006</v>
      </c>
      <c r="Y34">
        <v>70.45</v>
      </c>
      <c r="Z34">
        <v>64.150000000000006</v>
      </c>
      <c r="AA34" t="s">
        <v>250</v>
      </c>
      <c r="AB34" s="26">
        <v>5.1000000000000004E-3</v>
      </c>
      <c r="AE34" s="58">
        <v>46113</v>
      </c>
      <c r="AF34" s="33">
        <v>83576.240000000005</v>
      </c>
      <c r="AG34" s="60">
        <v>85640.05</v>
      </c>
      <c r="AH34" s="60">
        <v>85883.5</v>
      </c>
      <c r="AI34" s="60">
        <v>83402.28</v>
      </c>
      <c r="AJ34" t="s">
        <v>400</v>
      </c>
      <c r="AK34" s="26">
        <v>-2.5499999999999998E-2</v>
      </c>
      <c r="AM34" s="58">
        <v>46327</v>
      </c>
      <c r="AN34">
        <v>14.75</v>
      </c>
      <c r="AO34">
        <v>15</v>
      </c>
      <c r="AP34">
        <v>15.4</v>
      </c>
      <c r="AQ34">
        <v>14.6</v>
      </c>
      <c r="AR34" t="s">
        <v>509</v>
      </c>
      <c r="AS34" s="26">
        <v>-1.7999999999999999E-2</v>
      </c>
      <c r="AU34" s="58">
        <v>46327</v>
      </c>
      <c r="AV34" s="33">
        <v>44.2</v>
      </c>
      <c r="AW34">
        <v>40.1</v>
      </c>
      <c r="AX34">
        <v>44.21</v>
      </c>
      <c r="AY34">
        <v>40</v>
      </c>
      <c r="AZ34" t="s">
        <v>613</v>
      </c>
      <c r="BA34" s="26">
        <v>0.105</v>
      </c>
      <c r="BC34" s="85">
        <v>46327</v>
      </c>
      <c r="BD34" s="84">
        <v>42.87</v>
      </c>
      <c r="BE34">
        <v>44.25</v>
      </c>
      <c r="BF34">
        <v>49.49</v>
      </c>
      <c r="BG34">
        <v>42.85</v>
      </c>
      <c r="BH34" t="s">
        <v>721</v>
      </c>
      <c r="BI34" s="26">
        <v>-2.7699999999999999E-2</v>
      </c>
    </row>
    <row r="35" spans="2:61">
      <c r="B35" s="47" t="s">
        <v>164</v>
      </c>
      <c r="C35" s="33">
        <v>56.14</v>
      </c>
      <c r="D35" s="33">
        <v>5614</v>
      </c>
      <c r="E35" s="33" t="s">
        <v>69</v>
      </c>
      <c r="F35" s="33">
        <v>5614</v>
      </c>
      <c r="G35" t="s">
        <v>164</v>
      </c>
      <c r="H35" s="33">
        <v>8240817</v>
      </c>
      <c r="I35" s="33">
        <v>63400</v>
      </c>
      <c r="J35" s="33">
        <v>8240817</v>
      </c>
      <c r="M35" s="47">
        <v>45824</v>
      </c>
      <c r="N35" s="33">
        <v>56.14</v>
      </c>
      <c r="O35" t="s">
        <v>69</v>
      </c>
      <c r="P35">
        <v>56.14</v>
      </c>
      <c r="Q35">
        <v>56.14</v>
      </c>
      <c r="R35">
        <v>56.14</v>
      </c>
      <c r="S35">
        <v>56.14</v>
      </c>
      <c r="V35" s="58" t="s">
        <v>251</v>
      </c>
      <c r="W35">
        <v>69.27</v>
      </c>
      <c r="X35">
        <v>70.5</v>
      </c>
      <c r="Y35">
        <v>73.44</v>
      </c>
      <c r="Z35">
        <v>66</v>
      </c>
      <c r="AA35" t="s">
        <v>252</v>
      </c>
      <c r="AB35" s="26">
        <v>-1.14E-2</v>
      </c>
      <c r="AE35" t="s">
        <v>228</v>
      </c>
      <c r="AF35" s="33">
        <v>85762.01</v>
      </c>
      <c r="AG35" s="60">
        <v>85004.75</v>
      </c>
      <c r="AH35" s="60">
        <v>85812.27</v>
      </c>
      <c r="AI35" s="60">
        <v>84470.94</v>
      </c>
      <c r="AJ35" t="s">
        <v>401</v>
      </c>
      <c r="AK35" s="26">
        <v>8.5000000000000006E-3</v>
      </c>
      <c r="AM35" s="58">
        <v>46113</v>
      </c>
      <c r="AN35">
        <v>15.02</v>
      </c>
      <c r="AO35">
        <v>14.15</v>
      </c>
      <c r="AP35">
        <v>16.39</v>
      </c>
      <c r="AQ35">
        <v>14.15</v>
      </c>
      <c r="AR35" t="s">
        <v>510</v>
      </c>
      <c r="AS35" s="26">
        <v>3.5099999999999999E-2</v>
      </c>
      <c r="AU35" s="58">
        <v>46113</v>
      </c>
      <c r="AV35" s="33">
        <v>40</v>
      </c>
      <c r="AW35">
        <v>41</v>
      </c>
      <c r="AX35">
        <v>43.59</v>
      </c>
      <c r="AY35">
        <v>39.01</v>
      </c>
      <c r="AZ35" t="s">
        <v>614</v>
      </c>
      <c r="BA35" s="26">
        <v>-4.19E-2</v>
      </c>
      <c r="BC35" s="85">
        <v>46113</v>
      </c>
      <c r="BD35" s="84">
        <v>44.09</v>
      </c>
      <c r="BE35">
        <v>37.03</v>
      </c>
      <c r="BF35">
        <v>44.75</v>
      </c>
      <c r="BG35">
        <v>36.799999999999997</v>
      </c>
      <c r="BH35" t="s">
        <v>722</v>
      </c>
      <c r="BI35" s="26">
        <v>0.18809999999999999</v>
      </c>
    </row>
    <row r="36" spans="2:61">
      <c r="B36" s="47" t="s">
        <v>165</v>
      </c>
      <c r="C36" s="33">
        <v>56.14</v>
      </c>
      <c r="D36" s="33">
        <v>5614</v>
      </c>
      <c r="E36" s="33">
        <v>100</v>
      </c>
      <c r="F36" s="33">
        <v>5614</v>
      </c>
      <c r="G36" t="s">
        <v>165</v>
      </c>
      <c r="H36" s="33">
        <v>8111860</v>
      </c>
      <c r="I36" s="33">
        <v>50500</v>
      </c>
      <c r="J36" s="33">
        <v>8111860</v>
      </c>
      <c r="M36" s="47">
        <v>45817</v>
      </c>
      <c r="N36" s="33">
        <v>56.14</v>
      </c>
      <c r="O36">
        <v>100</v>
      </c>
      <c r="P36">
        <v>56.14</v>
      </c>
      <c r="Q36">
        <v>56.14</v>
      </c>
      <c r="R36">
        <v>56.14</v>
      </c>
      <c r="S36">
        <v>56.14</v>
      </c>
      <c r="V36" s="58" t="s">
        <v>253</v>
      </c>
      <c r="W36">
        <v>70.069999999999993</v>
      </c>
      <c r="X36">
        <v>72</v>
      </c>
      <c r="Y36">
        <v>76</v>
      </c>
      <c r="Z36">
        <v>66.5</v>
      </c>
      <c r="AA36" t="s">
        <v>254</v>
      </c>
      <c r="AB36" s="26">
        <v>-2.53E-2</v>
      </c>
      <c r="AE36" t="s">
        <v>230</v>
      </c>
      <c r="AF36" s="33">
        <v>85041.45</v>
      </c>
      <c r="AG36" s="60">
        <v>85145.9</v>
      </c>
      <c r="AH36" s="60">
        <v>85738.18</v>
      </c>
      <c r="AI36" s="60">
        <v>84937.82</v>
      </c>
      <c r="AJ36" t="s">
        <v>402</v>
      </c>
      <c r="AK36" s="26">
        <v>1.2999999999999999E-3</v>
      </c>
      <c r="AM36" t="s">
        <v>228</v>
      </c>
      <c r="AN36">
        <v>14.51</v>
      </c>
      <c r="AO36">
        <v>15</v>
      </c>
      <c r="AP36">
        <v>15.6</v>
      </c>
      <c r="AQ36">
        <v>13.98</v>
      </c>
      <c r="AR36" t="s">
        <v>511</v>
      </c>
      <c r="AS36" s="26">
        <v>-3.6499999999999998E-2</v>
      </c>
      <c r="AU36" t="s">
        <v>228</v>
      </c>
      <c r="AV36" s="33">
        <v>41.75</v>
      </c>
      <c r="AW36">
        <v>40.5</v>
      </c>
      <c r="AX36">
        <v>42.5</v>
      </c>
      <c r="AY36">
        <v>39.1</v>
      </c>
      <c r="AZ36" t="s">
        <v>615</v>
      </c>
      <c r="BA36" s="26">
        <v>4.2700000000000002E-2</v>
      </c>
      <c r="BC36" s="79" t="s">
        <v>228</v>
      </c>
      <c r="BD36" s="84">
        <v>37.11</v>
      </c>
      <c r="BE36">
        <v>36.6</v>
      </c>
      <c r="BF36">
        <v>37.74</v>
      </c>
      <c r="BG36">
        <v>34.01</v>
      </c>
      <c r="BH36" t="s">
        <v>723</v>
      </c>
      <c r="BI36" s="26">
        <v>1.3899999999999999E-2</v>
      </c>
    </row>
    <row r="37" spans="2:61">
      <c r="B37" s="47" t="s">
        <v>166</v>
      </c>
      <c r="C37" s="33">
        <v>53.47</v>
      </c>
      <c r="D37" s="33">
        <v>5347</v>
      </c>
      <c r="E37" s="33" t="s">
        <v>69</v>
      </c>
      <c r="F37" s="33">
        <v>5347</v>
      </c>
      <c r="G37" t="s">
        <v>166</v>
      </c>
      <c r="H37" s="33">
        <v>8218899</v>
      </c>
      <c r="I37" s="33">
        <v>71600</v>
      </c>
      <c r="J37" s="33">
        <v>8218899</v>
      </c>
      <c r="M37" s="47">
        <v>45810</v>
      </c>
      <c r="N37" s="33">
        <v>53.47</v>
      </c>
      <c r="O37" t="s">
        <v>69</v>
      </c>
      <c r="P37">
        <v>53.47</v>
      </c>
      <c r="Q37">
        <v>53.47</v>
      </c>
      <c r="R37">
        <v>53.47</v>
      </c>
      <c r="S37">
        <v>53.47</v>
      </c>
      <c r="V37" s="58">
        <v>45847</v>
      </c>
      <c r="W37">
        <v>71.89</v>
      </c>
      <c r="X37">
        <v>63.25</v>
      </c>
      <c r="Y37">
        <v>72.400000000000006</v>
      </c>
      <c r="Z37">
        <v>63.25</v>
      </c>
      <c r="AA37" t="s">
        <v>255</v>
      </c>
      <c r="AB37" s="26">
        <v>-2.3999999999999998E-3</v>
      </c>
      <c r="AE37" t="s">
        <v>232</v>
      </c>
      <c r="AF37" s="33">
        <v>84929.36</v>
      </c>
      <c r="AG37" s="60">
        <v>84891.75</v>
      </c>
      <c r="AH37" s="60">
        <v>85278.63</v>
      </c>
      <c r="AI37" s="60">
        <v>84238.43</v>
      </c>
      <c r="AJ37" t="s">
        <v>403</v>
      </c>
      <c r="AK37" s="26">
        <v>-4.0000000000000001E-3</v>
      </c>
      <c r="AM37" t="s">
        <v>230</v>
      </c>
      <c r="AN37">
        <v>15.06</v>
      </c>
      <c r="AO37">
        <v>15.31</v>
      </c>
      <c r="AP37">
        <v>15.75</v>
      </c>
      <c r="AQ37">
        <v>14.91</v>
      </c>
      <c r="AR37" t="s">
        <v>512</v>
      </c>
      <c r="AS37" s="26">
        <v>-1.7000000000000001E-2</v>
      </c>
      <c r="AU37" t="s">
        <v>230</v>
      </c>
      <c r="AV37" s="33">
        <v>40.04</v>
      </c>
      <c r="AW37">
        <v>46.7</v>
      </c>
      <c r="AX37">
        <v>46.7</v>
      </c>
      <c r="AY37">
        <v>40.020000000000003</v>
      </c>
      <c r="AZ37" t="s">
        <v>616</v>
      </c>
      <c r="BA37" s="26">
        <v>-0.1</v>
      </c>
      <c r="BC37" s="79" t="s">
        <v>230</v>
      </c>
      <c r="BD37" s="84">
        <v>36.6</v>
      </c>
      <c r="BE37">
        <v>32.28</v>
      </c>
      <c r="BF37">
        <v>38.97</v>
      </c>
      <c r="BG37">
        <v>32</v>
      </c>
      <c r="BH37" t="s">
        <v>724</v>
      </c>
      <c r="BI37" s="26">
        <v>0.13700000000000001</v>
      </c>
    </row>
    <row r="38" spans="2:61">
      <c r="B38" s="47" t="s">
        <v>167</v>
      </c>
      <c r="C38" s="33">
        <v>53.47</v>
      </c>
      <c r="D38" s="33">
        <v>5347</v>
      </c>
      <c r="E38" s="33" t="s">
        <v>69</v>
      </c>
      <c r="F38" s="33">
        <v>5347</v>
      </c>
      <c r="G38" t="s">
        <v>167</v>
      </c>
      <c r="H38" s="33">
        <v>8145101</v>
      </c>
      <c r="I38" s="33">
        <v>74400</v>
      </c>
      <c r="J38" s="33">
        <v>8145101</v>
      </c>
      <c r="M38" s="47">
        <v>45803</v>
      </c>
      <c r="N38" s="33">
        <v>53.47</v>
      </c>
      <c r="O38" t="s">
        <v>69</v>
      </c>
      <c r="P38">
        <v>53.47</v>
      </c>
      <c r="Q38">
        <v>53.47</v>
      </c>
      <c r="R38">
        <v>53.47</v>
      </c>
      <c r="S38">
        <v>53.47</v>
      </c>
      <c r="V38" s="58" t="s">
        <v>256</v>
      </c>
      <c r="W38">
        <v>72.06</v>
      </c>
      <c r="X38">
        <v>68.36</v>
      </c>
      <c r="Y38">
        <v>75</v>
      </c>
      <c r="Z38">
        <v>63</v>
      </c>
      <c r="AA38" t="s">
        <v>257</v>
      </c>
      <c r="AB38" s="26">
        <v>2.7699999999999999E-2</v>
      </c>
      <c r="AE38" s="58">
        <v>45850</v>
      </c>
      <c r="AF38" s="33">
        <v>85267.66</v>
      </c>
      <c r="AG38" s="60">
        <v>85624.84</v>
      </c>
      <c r="AH38" s="60">
        <v>85722.97</v>
      </c>
      <c r="AI38" s="60">
        <v>84150.19</v>
      </c>
      <c r="AJ38" t="s">
        <v>404</v>
      </c>
      <c r="AK38" s="26">
        <v>-5.1999999999999998E-3</v>
      </c>
      <c r="AM38" t="s">
        <v>232</v>
      </c>
      <c r="AN38">
        <v>15.32</v>
      </c>
      <c r="AO38">
        <v>13.85</v>
      </c>
      <c r="AP38">
        <v>16.649999999999999</v>
      </c>
      <c r="AQ38">
        <v>13.85</v>
      </c>
      <c r="AR38" t="s">
        <v>513</v>
      </c>
      <c r="AS38" s="26">
        <v>8.8800000000000004E-2</v>
      </c>
      <c r="AU38" t="s">
        <v>232</v>
      </c>
      <c r="AV38" s="33">
        <v>44.49</v>
      </c>
      <c r="AW38">
        <v>45.03</v>
      </c>
      <c r="AX38">
        <v>45.03</v>
      </c>
      <c r="AY38">
        <v>42.75</v>
      </c>
      <c r="AZ38" t="s">
        <v>617</v>
      </c>
      <c r="BA38" s="26">
        <v>-1.1599999999999999E-2</v>
      </c>
      <c r="BC38" s="79" t="s">
        <v>232</v>
      </c>
      <c r="BD38" s="84">
        <v>32.19</v>
      </c>
      <c r="BE38">
        <v>28.57</v>
      </c>
      <c r="BF38">
        <v>32.31</v>
      </c>
      <c r="BG38">
        <v>27.65</v>
      </c>
      <c r="BH38" t="s">
        <v>525</v>
      </c>
      <c r="BI38" s="26">
        <v>0.1323</v>
      </c>
    </row>
    <row r="39" spans="2:61">
      <c r="B39" s="47" t="s">
        <v>168</v>
      </c>
      <c r="C39" s="33">
        <v>53.47</v>
      </c>
      <c r="D39" s="33">
        <v>5347</v>
      </c>
      <c r="E39" s="33" t="s">
        <v>69</v>
      </c>
      <c r="F39" s="33">
        <v>5347</v>
      </c>
      <c r="G39" t="s">
        <v>168</v>
      </c>
      <c r="H39" s="33">
        <v>8172108</v>
      </c>
      <c r="I39" s="33">
        <v>47100</v>
      </c>
      <c r="J39" s="33">
        <v>8172108</v>
      </c>
      <c r="M39" s="47">
        <v>45796</v>
      </c>
      <c r="N39" s="33">
        <v>53.47</v>
      </c>
      <c r="O39" t="s">
        <v>69</v>
      </c>
      <c r="P39">
        <v>53.47</v>
      </c>
      <c r="Q39">
        <v>53.47</v>
      </c>
      <c r="R39">
        <v>53.47</v>
      </c>
      <c r="S39">
        <v>53.47</v>
      </c>
      <c r="V39" s="58" t="s">
        <v>258</v>
      </c>
      <c r="W39">
        <v>70.12</v>
      </c>
      <c r="X39">
        <v>73.59</v>
      </c>
      <c r="Y39">
        <v>73.59</v>
      </c>
      <c r="Z39">
        <v>64.25</v>
      </c>
      <c r="AA39" t="s">
        <v>259</v>
      </c>
      <c r="AB39" s="26">
        <v>-4.7199999999999999E-2</v>
      </c>
      <c r="AE39" t="s">
        <v>235</v>
      </c>
      <c r="AF39" s="33">
        <v>85712.37</v>
      </c>
      <c r="AG39" s="60">
        <v>86065.919999999998</v>
      </c>
      <c r="AH39" s="60">
        <v>86159.02</v>
      </c>
      <c r="AI39" s="60">
        <v>84763.64</v>
      </c>
      <c r="AJ39" t="s">
        <v>405</v>
      </c>
      <c r="AK39" s="26">
        <v>1E-4</v>
      </c>
      <c r="AM39" s="58">
        <v>45850</v>
      </c>
      <c r="AN39">
        <v>14.07</v>
      </c>
      <c r="AO39">
        <v>14.36</v>
      </c>
      <c r="AP39">
        <v>14.56</v>
      </c>
      <c r="AQ39">
        <v>13.75</v>
      </c>
      <c r="AR39" t="s">
        <v>514</v>
      </c>
      <c r="AS39" s="26">
        <v>-3.0300000000000001E-2</v>
      </c>
      <c r="AU39" s="58">
        <v>45850</v>
      </c>
      <c r="AV39" s="33">
        <v>45.01</v>
      </c>
      <c r="AW39">
        <v>45.05</v>
      </c>
      <c r="AX39">
        <v>46.59</v>
      </c>
      <c r="AY39">
        <v>44.99</v>
      </c>
      <c r="AZ39" t="s">
        <v>618</v>
      </c>
      <c r="BA39" s="26">
        <v>-4.2099999999999999E-2</v>
      </c>
      <c r="BC39" s="85">
        <v>45850</v>
      </c>
      <c r="BD39" s="84">
        <v>28.43</v>
      </c>
      <c r="BE39">
        <v>30</v>
      </c>
      <c r="BF39">
        <v>30</v>
      </c>
      <c r="BG39">
        <v>27.2</v>
      </c>
      <c r="BH39" t="s">
        <v>525</v>
      </c>
      <c r="BI39" s="26">
        <v>-1.83E-2</v>
      </c>
    </row>
    <row r="40" spans="2:61">
      <c r="B40" s="47" t="s">
        <v>169</v>
      </c>
      <c r="C40" s="33">
        <v>53.47</v>
      </c>
      <c r="D40">
        <v>5347</v>
      </c>
      <c r="E40">
        <v>290</v>
      </c>
      <c r="F40">
        <v>5347</v>
      </c>
      <c r="G40" t="s">
        <v>169</v>
      </c>
      <c r="H40" s="33">
        <v>8233059</v>
      </c>
      <c r="I40" s="33">
        <v>70000</v>
      </c>
      <c r="J40" s="33">
        <v>8233059</v>
      </c>
      <c r="M40" s="47">
        <v>45789</v>
      </c>
      <c r="N40" s="33">
        <v>53.47</v>
      </c>
      <c r="O40">
        <v>53.47</v>
      </c>
      <c r="P40">
        <v>53.47</v>
      </c>
      <c r="Q40">
        <v>53.47</v>
      </c>
      <c r="R40">
        <v>53.47</v>
      </c>
      <c r="S40">
        <v>290</v>
      </c>
      <c r="V40" s="58" t="s">
        <v>260</v>
      </c>
      <c r="W40">
        <v>73.59</v>
      </c>
      <c r="X40">
        <v>58.68</v>
      </c>
      <c r="Y40">
        <v>75.989999999999995</v>
      </c>
      <c r="Z40">
        <v>57.7</v>
      </c>
      <c r="AA40" t="s">
        <v>261</v>
      </c>
      <c r="AB40" s="26">
        <v>0.33800000000000002</v>
      </c>
      <c r="AE40" t="s">
        <v>237</v>
      </c>
      <c r="AF40" s="33">
        <v>85706.67</v>
      </c>
      <c r="AG40" s="60">
        <v>85320.04</v>
      </c>
      <c r="AH40" s="60">
        <v>86055.86</v>
      </c>
      <c r="AI40" s="60">
        <v>84478.13</v>
      </c>
      <c r="AJ40" t="s">
        <v>406</v>
      </c>
      <c r="AK40" s="26">
        <v>5.5999999999999999E-3</v>
      </c>
      <c r="AM40" t="s">
        <v>235</v>
      </c>
      <c r="AN40">
        <v>14.51</v>
      </c>
      <c r="AO40">
        <v>14.35</v>
      </c>
      <c r="AP40">
        <v>15.01</v>
      </c>
      <c r="AQ40">
        <v>14.02</v>
      </c>
      <c r="AR40" t="s">
        <v>515</v>
      </c>
      <c r="AS40" s="26">
        <v>0</v>
      </c>
      <c r="AU40" t="s">
        <v>235</v>
      </c>
      <c r="AV40" s="33">
        <v>46.99</v>
      </c>
      <c r="AW40">
        <v>48</v>
      </c>
      <c r="AX40">
        <v>48</v>
      </c>
      <c r="AY40">
        <v>44.51</v>
      </c>
      <c r="AZ40" t="s">
        <v>619</v>
      </c>
      <c r="BA40" s="26">
        <v>1.9E-3</v>
      </c>
      <c r="BC40" s="79" t="s">
        <v>235</v>
      </c>
      <c r="BD40" s="84">
        <v>28.96</v>
      </c>
      <c r="BE40">
        <v>27.5</v>
      </c>
      <c r="BF40">
        <v>30</v>
      </c>
      <c r="BG40">
        <v>26.93</v>
      </c>
      <c r="BH40" t="s">
        <v>725</v>
      </c>
      <c r="BI40" s="26">
        <v>5.2299999999999999E-2</v>
      </c>
    </row>
    <row r="41" spans="2:61">
      <c r="B41" s="47" t="s">
        <v>170</v>
      </c>
      <c r="C41" s="33">
        <v>53.47</v>
      </c>
      <c r="D41">
        <v>5347</v>
      </c>
      <c r="E41" t="s">
        <v>69</v>
      </c>
      <c r="F41">
        <v>5347</v>
      </c>
      <c r="G41" t="s">
        <v>170</v>
      </c>
      <c r="H41" s="33">
        <v>7945447</v>
      </c>
      <c r="I41" s="33">
        <v>49500</v>
      </c>
      <c r="J41" s="33">
        <v>7945447</v>
      </c>
      <c r="M41" s="47">
        <v>45782</v>
      </c>
      <c r="N41" s="33">
        <v>53.47</v>
      </c>
      <c r="O41">
        <v>53.47</v>
      </c>
      <c r="P41">
        <v>53.47</v>
      </c>
      <c r="Q41">
        <v>53.47</v>
      </c>
      <c r="R41">
        <v>53.47</v>
      </c>
      <c r="S41" t="s">
        <v>69</v>
      </c>
      <c r="V41" s="58">
        <v>45938</v>
      </c>
      <c r="W41">
        <v>55</v>
      </c>
      <c r="X41">
        <v>52.7</v>
      </c>
      <c r="Y41">
        <v>56.9</v>
      </c>
      <c r="Z41">
        <v>51.26</v>
      </c>
      <c r="AA41" t="s">
        <v>262</v>
      </c>
      <c r="AB41" s="26">
        <v>4.2700000000000002E-2</v>
      </c>
      <c r="AE41" t="s">
        <v>239</v>
      </c>
      <c r="AF41" s="33">
        <v>85231.92</v>
      </c>
      <c r="AG41" s="60">
        <v>84700.5</v>
      </c>
      <c r="AH41" s="60">
        <v>85801.7</v>
      </c>
      <c r="AI41" s="60">
        <v>84525.98</v>
      </c>
      <c r="AJ41" t="s">
        <v>407</v>
      </c>
      <c r="AK41" s="26">
        <v>7.9000000000000008E-3</v>
      </c>
      <c r="AM41" t="s">
        <v>237</v>
      </c>
      <c r="AN41">
        <v>14.51</v>
      </c>
      <c r="AO41">
        <v>13.45</v>
      </c>
      <c r="AP41">
        <v>15.35</v>
      </c>
      <c r="AQ41">
        <v>13.45</v>
      </c>
      <c r="AR41" t="s">
        <v>516</v>
      </c>
      <c r="AS41" s="26">
        <v>9.5100000000000004E-2</v>
      </c>
      <c r="AU41" t="s">
        <v>237</v>
      </c>
      <c r="AV41" s="33">
        <v>46.9</v>
      </c>
      <c r="AW41">
        <v>48</v>
      </c>
      <c r="AX41">
        <v>48</v>
      </c>
      <c r="AY41">
        <v>44.5</v>
      </c>
      <c r="AZ41" t="s">
        <v>620</v>
      </c>
      <c r="BA41" s="26">
        <v>1.6999999999999999E-3</v>
      </c>
      <c r="BC41" s="79" t="s">
        <v>237</v>
      </c>
      <c r="BD41" s="84">
        <v>27.52</v>
      </c>
      <c r="BE41">
        <v>26.59</v>
      </c>
      <c r="BF41">
        <v>27.53</v>
      </c>
      <c r="BG41">
        <v>25.81</v>
      </c>
      <c r="BH41" t="s">
        <v>726</v>
      </c>
      <c r="BI41" s="26">
        <v>5.0799999999999998E-2</v>
      </c>
    </row>
    <row r="42" spans="2:61">
      <c r="B42" s="47" t="s">
        <v>171</v>
      </c>
      <c r="C42" s="33">
        <v>53.47</v>
      </c>
      <c r="D42">
        <v>5347</v>
      </c>
      <c r="E42" t="s">
        <v>69</v>
      </c>
      <c r="F42">
        <v>5347</v>
      </c>
      <c r="G42" t="s">
        <v>171</v>
      </c>
      <c r="H42" s="33">
        <v>8050199</v>
      </c>
      <c r="I42" s="33">
        <v>49600</v>
      </c>
      <c r="J42" s="33">
        <v>8050199</v>
      </c>
      <c r="M42" s="47">
        <v>45775</v>
      </c>
      <c r="N42" s="33">
        <v>53.47</v>
      </c>
      <c r="O42">
        <v>53.47</v>
      </c>
      <c r="P42">
        <v>53.47</v>
      </c>
      <c r="Q42">
        <v>53.47</v>
      </c>
      <c r="R42">
        <v>53.47</v>
      </c>
      <c r="S42" t="s">
        <v>69</v>
      </c>
      <c r="V42" s="58">
        <v>45724</v>
      </c>
      <c r="W42">
        <v>52.75</v>
      </c>
      <c r="X42">
        <v>53.9</v>
      </c>
      <c r="Y42">
        <v>53.9</v>
      </c>
      <c r="Z42">
        <v>50</v>
      </c>
      <c r="AA42" t="s">
        <v>263</v>
      </c>
      <c r="AB42" s="26">
        <v>4.87E-2</v>
      </c>
      <c r="AE42" s="58">
        <v>45911</v>
      </c>
      <c r="AF42" s="33">
        <v>84562.78</v>
      </c>
      <c r="AG42" s="60">
        <v>83198.2</v>
      </c>
      <c r="AH42" s="60">
        <v>84919.43</v>
      </c>
      <c r="AI42" s="60">
        <v>83124.03</v>
      </c>
      <c r="AJ42" t="s">
        <v>408</v>
      </c>
      <c r="AK42" s="26">
        <v>1.6199999999999999E-2</v>
      </c>
      <c r="AM42" t="s">
        <v>239</v>
      </c>
      <c r="AN42">
        <v>13.25</v>
      </c>
      <c r="AO42">
        <v>15.17</v>
      </c>
      <c r="AP42">
        <v>15.7</v>
      </c>
      <c r="AQ42">
        <v>11.56</v>
      </c>
      <c r="AR42" t="s">
        <v>517</v>
      </c>
      <c r="AS42" s="26">
        <v>-0.12659999999999999</v>
      </c>
      <c r="AU42" t="s">
        <v>239</v>
      </c>
      <c r="AV42" s="33">
        <v>46.82</v>
      </c>
      <c r="AW42">
        <v>45.3</v>
      </c>
      <c r="AX42">
        <v>48</v>
      </c>
      <c r="AY42">
        <v>43</v>
      </c>
      <c r="AZ42" t="s">
        <v>621</v>
      </c>
      <c r="BA42" s="26">
        <v>4.3200000000000002E-2</v>
      </c>
      <c r="BC42" s="79" t="s">
        <v>239</v>
      </c>
      <c r="BD42" s="84">
        <v>26.19</v>
      </c>
      <c r="BE42">
        <v>25.3</v>
      </c>
      <c r="BF42">
        <v>26.95</v>
      </c>
      <c r="BG42">
        <v>25.3</v>
      </c>
      <c r="BH42" t="s">
        <v>727</v>
      </c>
      <c r="BI42" s="26">
        <v>2.9100000000000001E-2</v>
      </c>
    </row>
    <row r="43" spans="2:61">
      <c r="B43" s="47" t="s">
        <v>172</v>
      </c>
      <c r="C43" s="33">
        <v>53.47</v>
      </c>
      <c r="D43">
        <v>5347</v>
      </c>
      <c r="E43" t="s">
        <v>69</v>
      </c>
      <c r="F43">
        <v>5347</v>
      </c>
      <c r="G43" t="s">
        <v>172</v>
      </c>
      <c r="H43" s="33">
        <v>7921253</v>
      </c>
      <c r="I43" s="33">
        <v>60800</v>
      </c>
      <c r="J43" s="33">
        <v>7921253</v>
      </c>
      <c r="M43" s="47">
        <v>45768</v>
      </c>
      <c r="N43" s="33">
        <v>53.47</v>
      </c>
      <c r="O43">
        <v>53.47</v>
      </c>
      <c r="P43">
        <v>53.47</v>
      </c>
      <c r="Q43">
        <v>53.47</v>
      </c>
      <c r="R43">
        <v>53.47</v>
      </c>
      <c r="S43" t="s">
        <v>69</v>
      </c>
      <c r="V43" s="58" t="s">
        <v>264</v>
      </c>
      <c r="W43">
        <v>50.3</v>
      </c>
      <c r="X43">
        <v>50.96</v>
      </c>
      <c r="Y43">
        <v>52.45</v>
      </c>
      <c r="Z43">
        <v>50</v>
      </c>
      <c r="AA43" t="s">
        <v>265</v>
      </c>
      <c r="AB43" s="26">
        <v>4.5999999999999999E-3</v>
      </c>
      <c r="AE43" s="58">
        <v>45699</v>
      </c>
      <c r="AF43" s="33">
        <v>83216.28</v>
      </c>
      <c r="AG43" s="60">
        <v>83835.100000000006</v>
      </c>
      <c r="AH43" s="60">
        <v>84127</v>
      </c>
      <c r="AI43" s="60">
        <v>82670.95</v>
      </c>
      <c r="AJ43" t="s">
        <v>409</v>
      </c>
      <c r="AK43" s="26">
        <v>-8.6E-3</v>
      </c>
      <c r="AM43" s="58">
        <v>45911</v>
      </c>
      <c r="AN43">
        <v>15.17</v>
      </c>
      <c r="AO43">
        <v>14.48</v>
      </c>
      <c r="AP43">
        <v>15.49</v>
      </c>
      <c r="AQ43">
        <v>14.05</v>
      </c>
      <c r="AR43" t="s">
        <v>518</v>
      </c>
      <c r="AS43" s="26">
        <v>6.2300000000000001E-2</v>
      </c>
      <c r="AU43" s="58">
        <v>45911</v>
      </c>
      <c r="AV43" s="33">
        <v>44.88</v>
      </c>
      <c r="AW43">
        <v>45</v>
      </c>
      <c r="AX43">
        <v>48.78</v>
      </c>
      <c r="AY43">
        <v>42.18</v>
      </c>
      <c r="AZ43" t="s">
        <v>622</v>
      </c>
      <c r="BA43" s="26">
        <v>-4.2299999999999997E-2</v>
      </c>
      <c r="BC43" s="85">
        <v>45911</v>
      </c>
      <c r="BD43" s="84">
        <v>25.45</v>
      </c>
      <c r="BE43">
        <v>25</v>
      </c>
      <c r="BF43">
        <v>25.85</v>
      </c>
      <c r="BG43">
        <v>24.22</v>
      </c>
      <c r="BH43" t="s">
        <v>728</v>
      </c>
      <c r="BI43" s="26">
        <v>2.1299999999999999E-2</v>
      </c>
    </row>
    <row r="44" spans="2:61">
      <c r="B44" s="47" t="s">
        <v>173</v>
      </c>
      <c r="C44" s="33">
        <v>53.47</v>
      </c>
      <c r="D44">
        <v>5347</v>
      </c>
      <c r="E44" t="s">
        <v>69</v>
      </c>
      <c r="F44">
        <v>5347</v>
      </c>
      <c r="G44" t="s">
        <v>173</v>
      </c>
      <c r="H44" s="33">
        <v>7855320</v>
      </c>
      <c r="I44" s="33">
        <v>33500</v>
      </c>
      <c r="J44" s="33">
        <v>7855320</v>
      </c>
      <c r="M44" s="47">
        <v>45761</v>
      </c>
      <c r="N44" s="33">
        <v>53.47</v>
      </c>
      <c r="O44">
        <v>53.47</v>
      </c>
      <c r="P44">
        <v>53.47</v>
      </c>
      <c r="Q44">
        <v>53.47</v>
      </c>
      <c r="R44">
        <v>53.47</v>
      </c>
      <c r="S44" t="s">
        <v>69</v>
      </c>
      <c r="V44" s="58" t="s">
        <v>266</v>
      </c>
      <c r="W44">
        <v>50.07</v>
      </c>
      <c r="X44">
        <v>51.5</v>
      </c>
      <c r="Y44">
        <v>51.5</v>
      </c>
      <c r="Z44">
        <v>49.5</v>
      </c>
      <c r="AA44" t="s">
        <v>267</v>
      </c>
      <c r="AB44" s="26">
        <v>-2.1100000000000001E-2</v>
      </c>
      <c r="AE44" t="s">
        <v>243</v>
      </c>
      <c r="AF44" s="33">
        <v>83938.71</v>
      </c>
      <c r="AG44" s="60">
        <v>84297.39</v>
      </c>
      <c r="AH44" s="60">
        <v>85105.83</v>
      </c>
      <c r="AI44" s="60">
        <v>83905.66</v>
      </c>
      <c r="AJ44" t="s">
        <v>410</v>
      </c>
      <c r="AK44" s="26">
        <v>-3.2000000000000002E-3</v>
      </c>
      <c r="AM44" s="58">
        <v>45699</v>
      </c>
      <c r="AN44">
        <v>14.28</v>
      </c>
      <c r="AO44">
        <v>14.18</v>
      </c>
      <c r="AP44">
        <v>14.45</v>
      </c>
      <c r="AQ44">
        <v>13.76</v>
      </c>
      <c r="AR44" t="s">
        <v>519</v>
      </c>
      <c r="AS44" s="26">
        <v>2.7300000000000001E-2</v>
      </c>
      <c r="AU44" s="58">
        <v>45699</v>
      </c>
      <c r="AV44" s="33">
        <v>46.86</v>
      </c>
      <c r="AW44">
        <v>38.56</v>
      </c>
      <c r="AX44">
        <v>48.69</v>
      </c>
      <c r="AY44">
        <v>38.5</v>
      </c>
      <c r="AZ44" t="s">
        <v>623</v>
      </c>
      <c r="BA44" s="26">
        <v>0.2152</v>
      </c>
      <c r="BC44" s="85">
        <v>45699</v>
      </c>
      <c r="BD44" s="84">
        <v>24.92</v>
      </c>
      <c r="BE44">
        <v>24.25</v>
      </c>
      <c r="BF44">
        <v>26</v>
      </c>
      <c r="BG44">
        <v>23.45</v>
      </c>
      <c r="BH44" t="s">
        <v>729</v>
      </c>
      <c r="BI44" s="26">
        <v>3.9600000000000003E-2</v>
      </c>
    </row>
    <row r="45" spans="2:61">
      <c r="B45" s="47" t="s">
        <v>174</v>
      </c>
      <c r="C45" s="33">
        <v>53.47</v>
      </c>
      <c r="D45">
        <v>5347</v>
      </c>
      <c r="E45" t="s">
        <v>69</v>
      </c>
      <c r="F45">
        <v>5347</v>
      </c>
      <c r="G45" t="s">
        <v>174</v>
      </c>
      <c r="H45" s="33">
        <v>7515726</v>
      </c>
      <c r="I45" s="33">
        <v>69800</v>
      </c>
      <c r="J45" s="33">
        <v>7515726</v>
      </c>
      <c r="M45" s="47">
        <v>45754</v>
      </c>
      <c r="N45" s="33">
        <v>53.47</v>
      </c>
      <c r="O45">
        <v>53.47</v>
      </c>
      <c r="P45">
        <v>53.47</v>
      </c>
      <c r="Q45">
        <v>53.47</v>
      </c>
      <c r="R45">
        <v>53.47</v>
      </c>
      <c r="S45" t="s">
        <v>69</v>
      </c>
      <c r="V45" s="58" t="s">
        <v>268</v>
      </c>
      <c r="W45">
        <v>51.15</v>
      </c>
      <c r="X45">
        <v>53.48</v>
      </c>
      <c r="Y45">
        <v>54.36</v>
      </c>
      <c r="Z45">
        <v>50.02</v>
      </c>
      <c r="AA45" t="s">
        <v>269</v>
      </c>
      <c r="AB45" s="26">
        <v>-4.3900000000000002E-2</v>
      </c>
      <c r="AE45" t="s">
        <v>245</v>
      </c>
      <c r="AF45" s="33">
        <v>84211.88</v>
      </c>
      <c r="AG45" s="60">
        <v>84269.3</v>
      </c>
      <c r="AH45" s="60">
        <v>85290.06</v>
      </c>
      <c r="AI45" s="60">
        <v>83957.15</v>
      </c>
      <c r="AJ45" t="s">
        <v>411</v>
      </c>
      <c r="AK45" s="26">
        <v>3.0999999999999999E-3</v>
      </c>
      <c r="AM45" t="s">
        <v>243</v>
      </c>
      <c r="AN45">
        <v>13.9</v>
      </c>
      <c r="AO45">
        <v>14.22</v>
      </c>
      <c r="AP45">
        <v>14.45</v>
      </c>
      <c r="AQ45">
        <v>13.85</v>
      </c>
      <c r="AR45" t="s">
        <v>520</v>
      </c>
      <c r="AS45" s="26">
        <v>-2.46E-2</v>
      </c>
      <c r="AU45" t="s">
        <v>243</v>
      </c>
      <c r="AV45" s="33">
        <v>38.56</v>
      </c>
      <c r="AW45">
        <v>37.46</v>
      </c>
      <c r="AX45">
        <v>39</v>
      </c>
      <c r="AY45">
        <v>34.5</v>
      </c>
      <c r="AZ45" t="s">
        <v>620</v>
      </c>
      <c r="BA45" s="26">
        <v>3.9600000000000003E-2</v>
      </c>
      <c r="BC45" s="79" t="s">
        <v>243</v>
      </c>
      <c r="BD45" s="84">
        <v>23.97</v>
      </c>
      <c r="BE45">
        <v>23.36</v>
      </c>
      <c r="BF45">
        <v>24.19</v>
      </c>
      <c r="BG45">
        <v>22.35</v>
      </c>
      <c r="BH45" t="s">
        <v>730</v>
      </c>
      <c r="BI45" s="26">
        <v>2.1299999999999999E-2</v>
      </c>
    </row>
    <row r="46" spans="2:61">
      <c r="B46" s="47" t="s">
        <v>175</v>
      </c>
      <c r="C46" s="33">
        <v>53.47</v>
      </c>
      <c r="D46">
        <v>5347</v>
      </c>
      <c r="E46" t="s">
        <v>69</v>
      </c>
      <c r="F46">
        <v>5347</v>
      </c>
      <c r="G46" t="s">
        <v>175</v>
      </c>
      <c r="H46" s="33">
        <v>7536469</v>
      </c>
      <c r="I46" s="33">
        <v>40000</v>
      </c>
      <c r="J46" s="33">
        <v>7536469</v>
      </c>
      <c r="M46" s="47">
        <v>45747</v>
      </c>
      <c r="N46" s="33">
        <v>53.47</v>
      </c>
      <c r="O46">
        <v>53.47</v>
      </c>
      <c r="P46">
        <v>53.47</v>
      </c>
      <c r="Q46">
        <v>53.47</v>
      </c>
      <c r="R46">
        <v>53.47</v>
      </c>
      <c r="S46" t="s">
        <v>69</v>
      </c>
      <c r="V46" s="58">
        <v>45815</v>
      </c>
      <c r="W46">
        <v>53.5</v>
      </c>
      <c r="X46">
        <v>54.68</v>
      </c>
      <c r="Y46">
        <v>54.9</v>
      </c>
      <c r="Z46">
        <v>52.01</v>
      </c>
      <c r="AA46" t="s">
        <v>270</v>
      </c>
      <c r="AB46" s="26">
        <v>-5.0000000000000001E-3</v>
      </c>
      <c r="AE46" s="58">
        <v>46001</v>
      </c>
      <c r="AF46" s="33">
        <v>83952.19</v>
      </c>
      <c r="AG46" s="60">
        <v>82049.16</v>
      </c>
      <c r="AH46" s="60">
        <v>84172.24</v>
      </c>
      <c r="AI46" s="60">
        <v>81781.62</v>
      </c>
      <c r="AJ46" t="s">
        <v>412</v>
      </c>
      <c r="AK46" s="26">
        <v>1.7600000000000001E-2</v>
      </c>
      <c r="AM46" t="s">
        <v>245</v>
      </c>
      <c r="AN46">
        <v>14.25</v>
      </c>
      <c r="AO46">
        <v>14.1</v>
      </c>
      <c r="AP46">
        <v>14.8</v>
      </c>
      <c r="AQ46">
        <v>14</v>
      </c>
      <c r="AR46" t="s">
        <v>521</v>
      </c>
      <c r="AS46" s="26">
        <v>-3.5000000000000001E-3</v>
      </c>
      <c r="AU46" t="s">
        <v>245</v>
      </c>
      <c r="AV46" s="33">
        <v>37.090000000000003</v>
      </c>
      <c r="AW46">
        <v>36.64</v>
      </c>
      <c r="AX46">
        <v>38.85</v>
      </c>
      <c r="AY46">
        <v>36.340000000000003</v>
      </c>
      <c r="AZ46" t="s">
        <v>624</v>
      </c>
      <c r="BA46" s="26">
        <v>1.23E-2</v>
      </c>
      <c r="BC46" s="79" t="s">
        <v>245</v>
      </c>
      <c r="BD46" s="84">
        <v>23.47</v>
      </c>
      <c r="BE46">
        <v>20.66</v>
      </c>
      <c r="BF46">
        <v>24.05</v>
      </c>
      <c r="BG46">
        <v>20.66</v>
      </c>
      <c r="BH46" t="s">
        <v>731</v>
      </c>
      <c r="BI46" s="26">
        <v>7.9600000000000004E-2</v>
      </c>
    </row>
    <row r="47" spans="2:61">
      <c r="B47" s="47" t="s">
        <v>176</v>
      </c>
      <c r="C47" s="33">
        <v>53.47</v>
      </c>
      <c r="D47">
        <v>5347</v>
      </c>
      <c r="E47" t="s">
        <v>69</v>
      </c>
      <c r="F47">
        <v>5347</v>
      </c>
      <c r="G47" t="s">
        <v>176</v>
      </c>
      <c r="H47" s="33">
        <v>7741492</v>
      </c>
      <c r="I47" s="33">
        <v>62700</v>
      </c>
      <c r="J47" s="33">
        <v>7741492</v>
      </c>
      <c r="M47" s="47">
        <v>45740</v>
      </c>
      <c r="N47" s="33">
        <v>53.47</v>
      </c>
      <c r="O47">
        <v>53.47</v>
      </c>
      <c r="P47">
        <v>53.47</v>
      </c>
      <c r="Q47">
        <v>53.47</v>
      </c>
      <c r="R47">
        <v>53.47</v>
      </c>
      <c r="S47" t="s">
        <v>69</v>
      </c>
      <c r="V47" s="58" t="s">
        <v>271</v>
      </c>
      <c r="W47">
        <v>53.77</v>
      </c>
      <c r="X47">
        <v>54</v>
      </c>
      <c r="Y47">
        <v>55.49</v>
      </c>
      <c r="Z47">
        <v>52.21</v>
      </c>
      <c r="AA47" t="s">
        <v>272</v>
      </c>
      <c r="AB47" s="26">
        <v>-2.06E-2</v>
      </c>
      <c r="AE47" s="58">
        <v>45787</v>
      </c>
      <c r="AF47" s="33">
        <v>82500.820000000007</v>
      </c>
      <c r="AG47" s="60">
        <v>81274.789999999994</v>
      </c>
      <c r="AH47" s="60">
        <v>82654.11</v>
      </c>
      <c r="AI47" s="60">
        <v>81155.88</v>
      </c>
      <c r="AJ47" t="s">
        <v>413</v>
      </c>
      <c r="AK47" s="26">
        <v>1.5900000000000001E-2</v>
      </c>
      <c r="AM47" s="58">
        <v>46001</v>
      </c>
      <c r="AN47">
        <v>14.3</v>
      </c>
      <c r="AO47">
        <v>15.14</v>
      </c>
      <c r="AP47">
        <v>15.15</v>
      </c>
      <c r="AQ47">
        <v>14.2</v>
      </c>
      <c r="AR47" t="s">
        <v>522</v>
      </c>
      <c r="AS47" s="26">
        <v>-5.5500000000000001E-2</v>
      </c>
      <c r="AU47" s="58">
        <v>46001</v>
      </c>
      <c r="AV47" s="33">
        <v>36.64</v>
      </c>
      <c r="AW47">
        <v>37</v>
      </c>
      <c r="AX47">
        <v>37.18</v>
      </c>
      <c r="AY47">
        <v>35</v>
      </c>
      <c r="AZ47" t="s">
        <v>625</v>
      </c>
      <c r="BA47" s="26">
        <v>1.78E-2</v>
      </c>
      <c r="BC47" s="85">
        <v>46001</v>
      </c>
      <c r="BD47" s="84">
        <v>21.74</v>
      </c>
      <c r="BE47">
        <v>19.309999999999999</v>
      </c>
      <c r="BF47">
        <v>21.74</v>
      </c>
      <c r="BG47">
        <v>19.309999999999999</v>
      </c>
      <c r="BH47" t="s">
        <v>732</v>
      </c>
      <c r="BI47" s="26">
        <v>7.2499999999999995E-2</v>
      </c>
    </row>
    <row r="48" spans="2:61">
      <c r="B48" s="47" t="s">
        <v>177</v>
      </c>
      <c r="C48" s="33">
        <v>53.47</v>
      </c>
      <c r="D48">
        <v>5347</v>
      </c>
      <c r="E48" t="s">
        <v>69</v>
      </c>
      <c r="F48">
        <v>5347</v>
      </c>
      <c r="G48" t="s">
        <v>177</v>
      </c>
      <c r="H48" s="33">
        <v>7690551</v>
      </c>
      <c r="I48" s="33">
        <v>51700</v>
      </c>
      <c r="J48" s="33">
        <v>7690551</v>
      </c>
      <c r="M48" s="47">
        <v>45733</v>
      </c>
      <c r="N48" s="33">
        <v>53.47</v>
      </c>
      <c r="O48">
        <v>53.47</v>
      </c>
      <c r="P48">
        <v>53.47</v>
      </c>
      <c r="Q48">
        <v>53.47</v>
      </c>
      <c r="R48">
        <v>53.47</v>
      </c>
      <c r="S48" t="s">
        <v>69</v>
      </c>
      <c r="V48" s="58" t="s">
        <v>273</v>
      </c>
      <c r="W48">
        <v>54.9</v>
      </c>
      <c r="X48">
        <v>54.95</v>
      </c>
      <c r="Y48">
        <v>57</v>
      </c>
      <c r="Z48">
        <v>52.5</v>
      </c>
      <c r="AA48" t="s">
        <v>274</v>
      </c>
      <c r="AB48" s="26">
        <v>-8.9999999999999998E-4</v>
      </c>
      <c r="AE48" t="s">
        <v>249</v>
      </c>
      <c r="AF48" s="33">
        <v>81207.17</v>
      </c>
      <c r="AG48" s="60">
        <v>80588.77</v>
      </c>
      <c r="AH48" s="60">
        <v>81251.990000000005</v>
      </c>
      <c r="AI48" s="60">
        <v>80159.899999999994</v>
      </c>
      <c r="AJ48" t="s">
        <v>414</v>
      </c>
      <c r="AK48" s="26">
        <v>9.7000000000000003E-3</v>
      </c>
      <c r="AM48" s="58">
        <v>45787</v>
      </c>
      <c r="AN48">
        <v>15.14</v>
      </c>
      <c r="AO48">
        <v>15.35</v>
      </c>
      <c r="AP48">
        <v>15.68</v>
      </c>
      <c r="AQ48">
        <v>14.7</v>
      </c>
      <c r="AR48" t="s">
        <v>523</v>
      </c>
      <c r="AS48" s="26">
        <v>1.14E-2</v>
      </c>
      <c r="AU48" s="58">
        <v>45787</v>
      </c>
      <c r="AV48" s="33">
        <v>36</v>
      </c>
      <c r="AW48">
        <v>35.9</v>
      </c>
      <c r="AX48">
        <v>37.58</v>
      </c>
      <c r="AY48">
        <v>33.299999999999997</v>
      </c>
      <c r="AZ48" t="s">
        <v>626</v>
      </c>
      <c r="BA48" s="26">
        <v>2.86E-2</v>
      </c>
      <c r="BC48" s="85">
        <v>45787</v>
      </c>
      <c r="BD48" s="84">
        <v>20.27</v>
      </c>
      <c r="BE48">
        <v>21</v>
      </c>
      <c r="BF48">
        <v>21.47</v>
      </c>
      <c r="BG48">
        <v>19.63</v>
      </c>
      <c r="BH48" t="s">
        <v>733</v>
      </c>
      <c r="BI48" s="26">
        <v>-2.8299999999999999E-2</v>
      </c>
    </row>
    <row r="49" spans="2:61">
      <c r="B49" s="47" t="s">
        <v>178</v>
      </c>
      <c r="C49" s="33">
        <v>53.47</v>
      </c>
      <c r="D49">
        <v>5347</v>
      </c>
      <c r="E49" t="s">
        <v>69</v>
      </c>
      <c r="F49">
        <v>5347</v>
      </c>
      <c r="G49" t="s">
        <v>178</v>
      </c>
      <c r="H49" s="33">
        <v>7382891</v>
      </c>
      <c r="I49" s="33">
        <v>42000</v>
      </c>
      <c r="J49" s="33">
        <v>7382891</v>
      </c>
      <c r="M49" s="47">
        <v>45726</v>
      </c>
      <c r="N49" s="33">
        <v>53.47</v>
      </c>
      <c r="O49">
        <v>53.47</v>
      </c>
      <c r="P49">
        <v>53.47</v>
      </c>
      <c r="Q49">
        <v>53.47</v>
      </c>
      <c r="R49">
        <v>53.47</v>
      </c>
      <c r="S49" t="s">
        <v>69</v>
      </c>
      <c r="V49" s="58" t="s">
        <v>275</v>
      </c>
      <c r="W49">
        <v>54.95</v>
      </c>
      <c r="X49">
        <v>56.7</v>
      </c>
      <c r="Y49">
        <v>56.7</v>
      </c>
      <c r="Z49">
        <v>53</v>
      </c>
      <c r="AA49" t="s">
        <v>276</v>
      </c>
      <c r="AB49" s="26">
        <v>2.7000000000000001E-3</v>
      </c>
      <c r="AE49" t="s">
        <v>251</v>
      </c>
      <c r="AF49" s="33">
        <v>80426.460000000006</v>
      </c>
      <c r="AG49" s="60">
        <v>82151.070000000007</v>
      </c>
      <c r="AH49" s="60">
        <v>82583.16</v>
      </c>
      <c r="AI49" s="60">
        <v>80332.41</v>
      </c>
      <c r="AJ49" t="s">
        <v>415</v>
      </c>
      <c r="AK49" s="26">
        <v>-2.6599999999999999E-2</v>
      </c>
      <c r="AM49" t="s">
        <v>249</v>
      </c>
      <c r="AN49">
        <v>14.97</v>
      </c>
      <c r="AO49">
        <v>14.1</v>
      </c>
      <c r="AP49">
        <v>15.49</v>
      </c>
      <c r="AQ49">
        <v>13.85</v>
      </c>
      <c r="AR49" t="s">
        <v>524</v>
      </c>
      <c r="AS49" s="26">
        <v>6.1699999999999998E-2</v>
      </c>
      <c r="AU49" t="s">
        <v>249</v>
      </c>
      <c r="AV49" s="33">
        <v>35</v>
      </c>
      <c r="AW49">
        <v>34.520000000000003</v>
      </c>
      <c r="AX49">
        <v>35.96</v>
      </c>
      <c r="AY49">
        <v>32.9</v>
      </c>
      <c r="AZ49" t="s">
        <v>627</v>
      </c>
      <c r="BA49" s="26">
        <v>-3.39E-2</v>
      </c>
      <c r="BC49" s="79" t="s">
        <v>249</v>
      </c>
      <c r="BD49" s="84">
        <v>20.86</v>
      </c>
      <c r="BE49">
        <v>20.45</v>
      </c>
      <c r="BF49">
        <v>21.5</v>
      </c>
      <c r="BG49">
        <v>19.2</v>
      </c>
      <c r="BH49" t="s">
        <v>734</v>
      </c>
      <c r="BI49" s="26">
        <v>6.6500000000000004E-2</v>
      </c>
    </row>
    <row r="50" spans="2:61">
      <c r="B50" s="47" t="s">
        <v>179</v>
      </c>
      <c r="C50" s="33">
        <v>53.47</v>
      </c>
      <c r="D50">
        <v>5347</v>
      </c>
      <c r="E50">
        <v>370</v>
      </c>
      <c r="F50">
        <v>5347</v>
      </c>
      <c r="G50" t="s">
        <v>179</v>
      </c>
      <c r="H50" s="33">
        <v>7433258</v>
      </c>
      <c r="I50" s="33">
        <v>42600</v>
      </c>
      <c r="J50" s="33">
        <v>7433258</v>
      </c>
      <c r="M50" s="47">
        <v>45719</v>
      </c>
      <c r="N50" s="33">
        <v>53.47</v>
      </c>
      <c r="O50">
        <v>53.47</v>
      </c>
      <c r="P50">
        <v>53.47</v>
      </c>
      <c r="Q50">
        <v>53.47</v>
      </c>
      <c r="R50">
        <v>53.47</v>
      </c>
      <c r="S50">
        <v>370</v>
      </c>
      <c r="V50" s="58">
        <v>45875</v>
      </c>
      <c r="W50">
        <v>54.8</v>
      </c>
      <c r="X50">
        <v>53.5</v>
      </c>
      <c r="Y50">
        <v>55.85</v>
      </c>
      <c r="Z50">
        <v>49.3</v>
      </c>
      <c r="AA50" t="s">
        <v>277</v>
      </c>
      <c r="AB50" s="26">
        <v>4.02E-2</v>
      </c>
      <c r="AE50" t="s">
        <v>253</v>
      </c>
      <c r="AF50" s="33">
        <v>82626.23</v>
      </c>
      <c r="AG50" s="60">
        <v>81925.509999999995</v>
      </c>
      <c r="AH50" s="60">
        <v>83141.210000000006</v>
      </c>
      <c r="AI50" s="60">
        <v>81744.7</v>
      </c>
      <c r="AJ50" t="s">
        <v>416</v>
      </c>
      <c r="AK50" s="26">
        <v>8.8000000000000005E-3</v>
      </c>
      <c r="AM50" t="s">
        <v>251</v>
      </c>
      <c r="AN50">
        <v>14.1</v>
      </c>
      <c r="AO50">
        <v>14.9</v>
      </c>
      <c r="AP50">
        <v>15.1</v>
      </c>
      <c r="AQ50">
        <v>14</v>
      </c>
      <c r="AR50" t="s">
        <v>525</v>
      </c>
      <c r="AS50" s="26">
        <v>-4.7300000000000002E-2</v>
      </c>
      <c r="AU50" t="s">
        <v>251</v>
      </c>
      <c r="AV50" s="33">
        <v>36.229999999999997</v>
      </c>
      <c r="AW50">
        <v>38</v>
      </c>
      <c r="AX50">
        <v>38.1</v>
      </c>
      <c r="AY50">
        <v>36.049999999999997</v>
      </c>
      <c r="AZ50" t="s">
        <v>628</v>
      </c>
      <c r="BA50" s="26">
        <v>-4.6600000000000003E-2</v>
      </c>
      <c r="BC50" s="79" t="s">
        <v>251</v>
      </c>
      <c r="BD50" s="84">
        <v>19.559999999999999</v>
      </c>
      <c r="BE50">
        <v>21.49</v>
      </c>
      <c r="BF50">
        <v>21.49</v>
      </c>
      <c r="BG50">
        <v>19.440000000000001</v>
      </c>
      <c r="BH50" t="s">
        <v>735</v>
      </c>
      <c r="BI50" s="26">
        <v>-7.3899999999999993E-2</v>
      </c>
    </row>
    <row r="51" spans="2:61">
      <c r="B51" s="47" t="s">
        <v>180</v>
      </c>
      <c r="C51" s="33">
        <v>53.47</v>
      </c>
      <c r="D51">
        <v>5347</v>
      </c>
      <c r="E51">
        <v>145</v>
      </c>
      <c r="F51">
        <v>5347</v>
      </c>
      <c r="G51" t="s">
        <v>180</v>
      </c>
      <c r="H51" s="33">
        <v>7319810</v>
      </c>
      <c r="I51" s="33">
        <v>32900</v>
      </c>
      <c r="J51" s="33">
        <v>7319810</v>
      </c>
      <c r="M51" s="47">
        <v>45712</v>
      </c>
      <c r="N51" s="33">
        <v>53.47</v>
      </c>
      <c r="O51">
        <v>53.47</v>
      </c>
      <c r="P51">
        <v>53.47</v>
      </c>
      <c r="Q51">
        <v>53.47</v>
      </c>
      <c r="R51">
        <v>53.47</v>
      </c>
      <c r="S51">
        <v>145</v>
      </c>
      <c r="V51" s="58">
        <v>45663</v>
      </c>
      <c r="W51">
        <v>52.68</v>
      </c>
      <c r="X51">
        <v>55</v>
      </c>
      <c r="Y51">
        <v>58.75</v>
      </c>
      <c r="Z51">
        <v>51.25</v>
      </c>
      <c r="AA51" t="s">
        <v>278</v>
      </c>
      <c r="AB51" s="26">
        <v>-5.96E-2</v>
      </c>
      <c r="AE51" s="58">
        <v>45847</v>
      </c>
      <c r="AF51" s="33">
        <v>81904.7</v>
      </c>
      <c r="AG51" s="60">
        <v>80904.399999999994</v>
      </c>
      <c r="AH51" s="60">
        <v>81992.850000000006</v>
      </c>
      <c r="AI51" s="60">
        <v>80733.070000000007</v>
      </c>
      <c r="AJ51" t="s">
        <v>417</v>
      </c>
      <c r="AK51" s="26">
        <v>1.4800000000000001E-2</v>
      </c>
      <c r="AM51" t="s">
        <v>253</v>
      </c>
      <c r="AN51">
        <v>14.8</v>
      </c>
      <c r="AO51">
        <v>14.08</v>
      </c>
      <c r="AP51">
        <v>15.05</v>
      </c>
      <c r="AQ51">
        <v>13.82</v>
      </c>
      <c r="AR51" t="s">
        <v>526</v>
      </c>
      <c r="AS51" s="26">
        <v>6.5500000000000003E-2</v>
      </c>
      <c r="AU51" t="s">
        <v>253</v>
      </c>
      <c r="AV51" s="33">
        <v>38</v>
      </c>
      <c r="AW51">
        <v>38.299999999999997</v>
      </c>
      <c r="AX51">
        <v>39.89</v>
      </c>
      <c r="AY51">
        <v>36</v>
      </c>
      <c r="AZ51" t="s">
        <v>629</v>
      </c>
      <c r="BA51" s="26">
        <v>-2.0999999999999999E-3</v>
      </c>
      <c r="BC51" s="79" t="s">
        <v>253</v>
      </c>
      <c r="BD51" s="84">
        <v>21.12</v>
      </c>
      <c r="BE51">
        <v>21.3</v>
      </c>
      <c r="BF51">
        <v>21.5</v>
      </c>
      <c r="BG51">
        <v>19.95</v>
      </c>
      <c r="BH51" t="s">
        <v>555</v>
      </c>
      <c r="BI51" s="26">
        <v>-8.9999999999999998E-4</v>
      </c>
    </row>
    <row r="52" spans="2:61">
      <c r="B52" s="47" t="s">
        <v>181</v>
      </c>
      <c r="C52" s="33">
        <v>53.47</v>
      </c>
      <c r="D52">
        <v>5347</v>
      </c>
      <c r="E52" t="s">
        <v>69</v>
      </c>
      <c r="F52">
        <v>5347</v>
      </c>
      <c r="G52" t="s">
        <v>181</v>
      </c>
      <c r="H52" s="33">
        <v>7531106</v>
      </c>
      <c r="I52" s="33">
        <v>41400</v>
      </c>
      <c r="J52" s="33">
        <v>7531106</v>
      </c>
      <c r="M52" s="47">
        <v>45705</v>
      </c>
      <c r="N52" s="33">
        <v>53.47</v>
      </c>
      <c r="O52">
        <v>53.47</v>
      </c>
      <c r="P52">
        <v>53.47</v>
      </c>
      <c r="Q52">
        <v>53.47</v>
      </c>
      <c r="R52">
        <v>53.47</v>
      </c>
      <c r="S52" t="s">
        <v>69</v>
      </c>
      <c r="V52" s="58" t="s">
        <v>279</v>
      </c>
      <c r="W52">
        <v>56.02</v>
      </c>
      <c r="X52">
        <v>54.1</v>
      </c>
      <c r="Y52">
        <v>60</v>
      </c>
      <c r="Z52">
        <v>52.25</v>
      </c>
      <c r="AA52" t="s">
        <v>280</v>
      </c>
      <c r="AB52" s="26">
        <v>3.5700000000000003E-2</v>
      </c>
      <c r="AE52" t="s">
        <v>256</v>
      </c>
      <c r="AF52" s="33">
        <v>80710.759999999995</v>
      </c>
      <c r="AG52" s="60">
        <v>79828.990000000005</v>
      </c>
      <c r="AH52" s="60">
        <v>81456.67</v>
      </c>
      <c r="AI52" s="60">
        <v>79818.38</v>
      </c>
      <c r="AJ52" t="s">
        <v>418</v>
      </c>
      <c r="AK52" s="26">
        <v>1.1299999999999999E-2</v>
      </c>
      <c r="AM52" s="58">
        <v>45847</v>
      </c>
      <c r="AN52">
        <v>13.89</v>
      </c>
      <c r="AO52">
        <v>14</v>
      </c>
      <c r="AP52">
        <v>14.23</v>
      </c>
      <c r="AQ52">
        <v>13.73</v>
      </c>
      <c r="AR52" t="s">
        <v>527</v>
      </c>
      <c r="AS52" s="26">
        <v>-6.9999999999999999E-4</v>
      </c>
      <c r="AU52" s="58">
        <v>45847</v>
      </c>
      <c r="AV52" s="33">
        <v>38.08</v>
      </c>
      <c r="AW52">
        <v>36.5</v>
      </c>
      <c r="AX52">
        <v>38.49</v>
      </c>
      <c r="AY52">
        <v>34.5</v>
      </c>
      <c r="AZ52" t="s">
        <v>630</v>
      </c>
      <c r="BA52" s="26">
        <v>4.3299999999999998E-2</v>
      </c>
      <c r="BC52" s="85">
        <v>45847</v>
      </c>
      <c r="BD52" s="84">
        <v>21.14</v>
      </c>
      <c r="BE52">
        <v>21</v>
      </c>
      <c r="BF52">
        <v>21.5</v>
      </c>
      <c r="BG52">
        <v>19.899999999999999</v>
      </c>
      <c r="BH52" t="s">
        <v>736</v>
      </c>
      <c r="BI52" s="26">
        <v>2.1700000000000001E-2</v>
      </c>
    </row>
    <row r="53" spans="2:61">
      <c r="B53" s="47" t="s">
        <v>182</v>
      </c>
      <c r="C53" s="33">
        <v>53.47</v>
      </c>
      <c r="D53">
        <v>5347</v>
      </c>
      <c r="E53">
        <v>277</v>
      </c>
      <c r="F53">
        <v>5347</v>
      </c>
      <c r="G53" t="s">
        <v>182</v>
      </c>
      <c r="H53" s="33">
        <v>7593921</v>
      </c>
      <c r="I53" s="33">
        <v>43400</v>
      </c>
      <c r="J53" s="33">
        <v>7593921</v>
      </c>
      <c r="M53" s="47">
        <v>45698</v>
      </c>
      <c r="N53" s="33">
        <v>53.47</v>
      </c>
      <c r="O53">
        <v>53.47</v>
      </c>
      <c r="P53">
        <v>48.51</v>
      </c>
      <c r="Q53">
        <v>53.47</v>
      </c>
      <c r="R53">
        <v>53.47</v>
      </c>
      <c r="S53">
        <v>277</v>
      </c>
      <c r="V53" s="58" t="s">
        <v>281</v>
      </c>
      <c r="W53">
        <v>54.09</v>
      </c>
      <c r="X53">
        <v>57.99</v>
      </c>
      <c r="Y53">
        <v>57.99</v>
      </c>
      <c r="Z53">
        <v>53.6</v>
      </c>
      <c r="AA53" t="s">
        <v>282</v>
      </c>
      <c r="AB53" s="26">
        <v>-1.67E-2</v>
      </c>
      <c r="AE53" t="s">
        <v>258</v>
      </c>
      <c r="AF53" s="33">
        <v>79809.649999999994</v>
      </c>
      <c r="AG53" s="60">
        <v>81501.06</v>
      </c>
      <c r="AH53" s="60">
        <v>81799.06</v>
      </c>
      <c r="AI53" s="60">
        <v>79741.759999999995</v>
      </c>
      <c r="AJ53" t="s">
        <v>419</v>
      </c>
      <c r="AK53" s="26">
        <v>-1.84E-2</v>
      </c>
      <c r="AM53" t="s">
        <v>256</v>
      </c>
      <c r="AN53">
        <v>13.9</v>
      </c>
      <c r="AO53">
        <v>13.32</v>
      </c>
      <c r="AP53">
        <v>14.15</v>
      </c>
      <c r="AQ53">
        <v>12.56</v>
      </c>
      <c r="AR53" t="s">
        <v>528</v>
      </c>
      <c r="AS53" s="26">
        <v>2.3599999999999999E-2</v>
      </c>
      <c r="AU53" t="s">
        <v>256</v>
      </c>
      <c r="AV53" s="33">
        <v>36.5</v>
      </c>
      <c r="AW53">
        <v>34.22</v>
      </c>
      <c r="AX53">
        <v>37.25</v>
      </c>
      <c r="AY53">
        <v>34.1</v>
      </c>
      <c r="AZ53" t="s">
        <v>631</v>
      </c>
      <c r="BA53" s="26">
        <v>1.78E-2</v>
      </c>
      <c r="BC53" s="79" t="s">
        <v>256</v>
      </c>
      <c r="BD53" s="84">
        <v>20.69</v>
      </c>
      <c r="BE53">
        <v>21.13</v>
      </c>
      <c r="BF53">
        <v>21.7</v>
      </c>
      <c r="BG53">
        <v>19.399999999999999</v>
      </c>
      <c r="BH53" t="s">
        <v>737</v>
      </c>
      <c r="BI53" s="26">
        <v>-2.0799999999999999E-2</v>
      </c>
    </row>
    <row r="54" spans="2:61">
      <c r="B54" s="47" t="s">
        <v>183</v>
      </c>
      <c r="C54" s="33">
        <v>48.51</v>
      </c>
      <c r="D54">
        <v>4851</v>
      </c>
      <c r="E54" t="s">
        <v>69</v>
      </c>
      <c r="F54">
        <v>4851</v>
      </c>
      <c r="G54" t="s">
        <v>183</v>
      </c>
      <c r="H54" s="33">
        <v>7786019</v>
      </c>
      <c r="I54" s="33">
        <v>50100</v>
      </c>
      <c r="J54" s="33">
        <v>7786019</v>
      </c>
      <c r="M54" s="47">
        <v>45691</v>
      </c>
      <c r="N54" s="33">
        <v>48.51</v>
      </c>
      <c r="O54">
        <v>48.51</v>
      </c>
      <c r="P54">
        <v>48.51</v>
      </c>
      <c r="Q54">
        <v>48.51</v>
      </c>
      <c r="R54">
        <v>48.51</v>
      </c>
      <c r="S54" t="s">
        <v>69</v>
      </c>
      <c r="V54" s="58">
        <v>45966</v>
      </c>
      <c r="W54">
        <v>55.01</v>
      </c>
      <c r="X54">
        <v>58</v>
      </c>
      <c r="Y54">
        <v>58</v>
      </c>
      <c r="Z54">
        <v>54</v>
      </c>
      <c r="AA54" t="s">
        <v>283</v>
      </c>
      <c r="AB54" s="26">
        <v>9.4999999999999998E-3</v>
      </c>
      <c r="AE54" t="s">
        <v>260</v>
      </c>
      <c r="AF54" s="33">
        <v>81306.850000000006</v>
      </c>
      <c r="AG54" s="60">
        <v>81315.789999999994</v>
      </c>
      <c r="AH54" s="60">
        <v>82231.17</v>
      </c>
      <c r="AI54" s="60">
        <v>81202.42</v>
      </c>
      <c r="AJ54" t="s">
        <v>420</v>
      </c>
      <c r="AK54" s="26">
        <v>8.8000000000000005E-3</v>
      </c>
      <c r="AM54" t="s">
        <v>258</v>
      </c>
      <c r="AN54">
        <v>13.58</v>
      </c>
      <c r="AO54">
        <v>13.72</v>
      </c>
      <c r="AP54">
        <v>14.01</v>
      </c>
      <c r="AQ54">
        <v>13.48</v>
      </c>
      <c r="AR54" t="s">
        <v>529</v>
      </c>
      <c r="AS54" s="26">
        <v>-1.67E-2</v>
      </c>
      <c r="AU54" t="s">
        <v>258</v>
      </c>
      <c r="AV54" s="33">
        <v>35.86</v>
      </c>
      <c r="AW54">
        <v>34</v>
      </c>
      <c r="AX54">
        <v>36.75</v>
      </c>
      <c r="AY54">
        <v>34</v>
      </c>
      <c r="AZ54" t="s">
        <v>632</v>
      </c>
      <c r="BA54" s="26">
        <v>5.5999999999999999E-3</v>
      </c>
      <c r="BC54" s="79" t="s">
        <v>258</v>
      </c>
      <c r="BD54" s="84">
        <v>21.13</v>
      </c>
      <c r="BE54">
        <v>21.12</v>
      </c>
      <c r="BF54">
        <v>22.1</v>
      </c>
      <c r="BG54">
        <v>20.03</v>
      </c>
      <c r="BH54" t="s">
        <v>738</v>
      </c>
      <c r="BI54" s="26">
        <v>5.0000000000000001E-4</v>
      </c>
    </row>
    <row r="55" spans="2:61">
      <c r="B55" s="47" t="s">
        <v>184</v>
      </c>
      <c r="C55" s="33">
        <v>48.51</v>
      </c>
      <c r="D55">
        <v>4851</v>
      </c>
      <c r="E55" t="s">
        <v>69</v>
      </c>
      <c r="F55">
        <v>4851</v>
      </c>
      <c r="G55" t="s">
        <v>184</v>
      </c>
      <c r="H55" s="33">
        <v>7750057</v>
      </c>
      <c r="I55" s="33">
        <v>63800</v>
      </c>
      <c r="J55" s="33">
        <v>7750057</v>
      </c>
      <c r="M55" s="47">
        <v>45684</v>
      </c>
      <c r="N55" s="33">
        <v>48.51</v>
      </c>
      <c r="O55">
        <v>48.51</v>
      </c>
      <c r="P55">
        <v>48.51</v>
      </c>
      <c r="Q55">
        <v>48.51</v>
      </c>
      <c r="R55">
        <v>48.51</v>
      </c>
      <c r="S55" t="s">
        <v>69</v>
      </c>
      <c r="V55" s="58">
        <v>45752</v>
      </c>
      <c r="W55">
        <v>54.49</v>
      </c>
      <c r="X55">
        <v>60.49</v>
      </c>
      <c r="Y55">
        <v>60.49</v>
      </c>
      <c r="Z55">
        <v>50.02</v>
      </c>
      <c r="AA55" t="s">
        <v>284</v>
      </c>
      <c r="AB55" s="26">
        <v>-1.46E-2</v>
      </c>
      <c r="AE55" s="58">
        <v>45938</v>
      </c>
      <c r="AF55" s="33">
        <v>80597.66</v>
      </c>
      <c r="AG55" s="60">
        <v>79885.36</v>
      </c>
      <c r="AH55" s="60">
        <v>80997.67</v>
      </c>
      <c r="AI55" s="60">
        <v>79772.460000000006</v>
      </c>
      <c r="AJ55" t="s">
        <v>421</v>
      </c>
      <c r="AK55" s="26">
        <v>9.2999999999999992E-3</v>
      </c>
      <c r="AM55" t="s">
        <v>260</v>
      </c>
      <c r="AN55">
        <v>13.81</v>
      </c>
      <c r="AO55">
        <v>13.89</v>
      </c>
      <c r="AP55">
        <v>14.5</v>
      </c>
      <c r="AQ55">
        <v>13.5</v>
      </c>
      <c r="AR55" t="s">
        <v>530</v>
      </c>
      <c r="AS55" s="26">
        <v>1.0200000000000001E-2</v>
      </c>
      <c r="AU55" t="s">
        <v>260</v>
      </c>
      <c r="AV55" s="33">
        <v>35.659999999999997</v>
      </c>
      <c r="AW55">
        <v>34.1</v>
      </c>
      <c r="AX55">
        <v>36.979999999999997</v>
      </c>
      <c r="AY55">
        <v>33.049999999999997</v>
      </c>
      <c r="AZ55" t="s">
        <v>633</v>
      </c>
      <c r="BA55" s="26">
        <v>1.2800000000000001E-2</v>
      </c>
      <c r="BC55" s="79" t="s">
        <v>260</v>
      </c>
      <c r="BD55" s="84">
        <v>21.12</v>
      </c>
      <c r="BE55">
        <v>20.14</v>
      </c>
      <c r="BF55">
        <v>21.7</v>
      </c>
      <c r="BG55">
        <v>19.16</v>
      </c>
      <c r="BH55" t="s">
        <v>739</v>
      </c>
      <c r="BI55" s="26">
        <v>4.7600000000000003E-2</v>
      </c>
    </row>
    <row r="56" spans="2:61">
      <c r="B56" s="47" t="s">
        <v>185</v>
      </c>
      <c r="C56" s="33">
        <v>48.51</v>
      </c>
      <c r="D56">
        <v>4851</v>
      </c>
      <c r="E56" t="s">
        <v>69</v>
      </c>
      <c r="F56">
        <v>4851</v>
      </c>
      <c r="G56" t="s">
        <v>185</v>
      </c>
      <c r="H56" s="33">
        <v>7619046</v>
      </c>
      <c r="I56" s="33">
        <v>79200</v>
      </c>
      <c r="J56" s="33">
        <v>7619046</v>
      </c>
      <c r="M56" s="47">
        <v>45677</v>
      </c>
      <c r="N56" s="33">
        <v>48.51</v>
      </c>
      <c r="O56">
        <v>48.51</v>
      </c>
      <c r="P56">
        <v>48.51</v>
      </c>
      <c r="Q56">
        <v>48.51</v>
      </c>
      <c r="R56">
        <v>48.51</v>
      </c>
      <c r="S56" t="s">
        <v>69</v>
      </c>
      <c r="V56" s="58" t="s">
        <v>285</v>
      </c>
      <c r="W56">
        <v>55.3</v>
      </c>
      <c r="X56">
        <v>54.9</v>
      </c>
      <c r="Y56">
        <v>58</v>
      </c>
      <c r="Z56">
        <v>53.6</v>
      </c>
      <c r="AA56" t="s">
        <v>286</v>
      </c>
      <c r="AB56" s="26">
        <v>5.0099999999999999E-2</v>
      </c>
      <c r="AE56" s="58">
        <v>45724</v>
      </c>
      <c r="AF56" s="33">
        <v>79857.789999999994</v>
      </c>
      <c r="AG56" s="60">
        <v>80765.83</v>
      </c>
      <c r="AH56" s="60">
        <v>81093.19</v>
      </c>
      <c r="AI56" s="60">
        <v>79775.839999999997</v>
      </c>
      <c r="AJ56" t="s">
        <v>422</v>
      </c>
      <c r="AK56" s="26">
        <v>-9.1999999999999998E-3</v>
      </c>
      <c r="AM56" s="58">
        <v>45938</v>
      </c>
      <c r="AN56">
        <v>13.67</v>
      </c>
      <c r="AO56">
        <v>13.74</v>
      </c>
      <c r="AP56">
        <v>14</v>
      </c>
      <c r="AQ56">
        <v>13.51</v>
      </c>
      <c r="AR56" t="s">
        <v>531</v>
      </c>
      <c r="AS56" s="26">
        <v>-5.1000000000000004E-3</v>
      </c>
      <c r="AU56" s="58">
        <v>45938</v>
      </c>
      <c r="AV56" s="33">
        <v>35.21</v>
      </c>
      <c r="AW56">
        <v>32.26</v>
      </c>
      <c r="AX56">
        <v>37</v>
      </c>
      <c r="AY56">
        <v>32.26</v>
      </c>
      <c r="AZ56" t="s">
        <v>634</v>
      </c>
      <c r="BA56" s="26">
        <v>4.7300000000000002E-2</v>
      </c>
      <c r="BC56" s="85">
        <v>45938</v>
      </c>
      <c r="BD56" s="84">
        <v>20.16</v>
      </c>
      <c r="BE56">
        <v>20.89</v>
      </c>
      <c r="BF56">
        <v>20.89</v>
      </c>
      <c r="BG56">
        <v>19</v>
      </c>
      <c r="BH56" t="s">
        <v>740</v>
      </c>
      <c r="BI56" s="26">
        <v>8.5000000000000006E-3</v>
      </c>
    </row>
    <row r="57" spans="2:61">
      <c r="B57" s="47" t="s">
        <v>186</v>
      </c>
      <c r="C57" s="33">
        <v>48.51</v>
      </c>
      <c r="D57">
        <v>4851</v>
      </c>
      <c r="E57" t="s">
        <v>69</v>
      </c>
      <c r="F57">
        <v>4851</v>
      </c>
      <c r="G57" t="s">
        <v>186</v>
      </c>
      <c r="H57" s="33">
        <v>7661933</v>
      </c>
      <c r="I57" s="33">
        <v>61500</v>
      </c>
      <c r="J57" s="33">
        <v>7661933</v>
      </c>
      <c r="M57" s="47">
        <v>45670</v>
      </c>
      <c r="N57" s="33">
        <v>48.51</v>
      </c>
      <c r="O57">
        <v>48.51</v>
      </c>
      <c r="P57">
        <v>48.51</v>
      </c>
      <c r="Q57">
        <v>48.51</v>
      </c>
      <c r="R57">
        <v>48.51</v>
      </c>
      <c r="S57" t="s">
        <v>69</v>
      </c>
      <c r="V57" s="58" t="s">
        <v>287</v>
      </c>
      <c r="W57">
        <v>52.66</v>
      </c>
      <c r="X57">
        <v>59.99</v>
      </c>
      <c r="Y57">
        <v>60.49</v>
      </c>
      <c r="Z57">
        <v>48.55</v>
      </c>
      <c r="AA57" t="s">
        <v>288</v>
      </c>
      <c r="AB57" s="26">
        <v>-7.3700000000000002E-2</v>
      </c>
      <c r="AE57" t="s">
        <v>264</v>
      </c>
      <c r="AF57" s="33">
        <v>80599.91</v>
      </c>
      <c r="AG57" s="60">
        <v>81299.97</v>
      </c>
      <c r="AH57" s="60">
        <v>81803.27</v>
      </c>
      <c r="AI57" s="60">
        <v>80495.570000000007</v>
      </c>
      <c r="AJ57" t="s">
        <v>423</v>
      </c>
      <c r="AK57" s="26">
        <v>-1.06E-2</v>
      </c>
      <c r="AM57" s="58">
        <v>45724</v>
      </c>
      <c r="AN57">
        <v>13.74</v>
      </c>
      <c r="AO57">
        <v>13.7</v>
      </c>
      <c r="AP57">
        <v>13.97</v>
      </c>
      <c r="AQ57">
        <v>13.33</v>
      </c>
      <c r="AR57" t="s">
        <v>532</v>
      </c>
      <c r="AS57" s="26">
        <v>-6.4999999999999997E-3</v>
      </c>
      <c r="AU57" s="58">
        <v>45724</v>
      </c>
      <c r="AV57" s="33">
        <v>33.619999999999997</v>
      </c>
      <c r="AW57">
        <v>38.5</v>
      </c>
      <c r="AX57">
        <v>38.700000000000003</v>
      </c>
      <c r="AY57">
        <v>33.200000000000003</v>
      </c>
      <c r="AZ57" t="s">
        <v>635</v>
      </c>
      <c r="BA57" s="26">
        <v>-0.115</v>
      </c>
      <c r="BC57" s="85">
        <v>45724</v>
      </c>
      <c r="BD57" s="84">
        <v>19.989999999999998</v>
      </c>
      <c r="BE57">
        <v>20.149999999999999</v>
      </c>
      <c r="BF57">
        <v>20.75</v>
      </c>
      <c r="BG57">
        <v>19.5</v>
      </c>
      <c r="BH57" t="s">
        <v>741</v>
      </c>
      <c r="BI57" s="26">
        <v>-1.09E-2</v>
      </c>
    </row>
    <row r="58" spans="2:61">
      <c r="B58" s="47" t="s">
        <v>187</v>
      </c>
      <c r="C58" s="33">
        <v>48.51</v>
      </c>
      <c r="D58">
        <v>4851</v>
      </c>
      <c r="E58" t="s">
        <v>69</v>
      </c>
      <c r="F58">
        <v>4851</v>
      </c>
      <c r="G58" t="s">
        <v>187</v>
      </c>
      <c r="H58" s="33">
        <v>7737891</v>
      </c>
      <c r="I58" s="33">
        <v>46600</v>
      </c>
      <c r="J58" s="33">
        <v>7737891</v>
      </c>
      <c r="M58" s="47">
        <v>45663</v>
      </c>
      <c r="N58" s="33">
        <v>48.51</v>
      </c>
      <c r="O58">
        <v>48.51</v>
      </c>
      <c r="P58">
        <v>48.51</v>
      </c>
      <c r="Q58">
        <v>48.51</v>
      </c>
      <c r="R58">
        <v>48.51</v>
      </c>
      <c r="S58" t="s">
        <v>69</v>
      </c>
      <c r="V58" s="58" t="s">
        <v>289</v>
      </c>
      <c r="W58">
        <v>56.85</v>
      </c>
      <c r="X58">
        <v>55.86</v>
      </c>
      <c r="Y58">
        <v>64</v>
      </c>
      <c r="Z58">
        <v>54.5</v>
      </c>
      <c r="AA58" t="s">
        <v>290</v>
      </c>
      <c r="AB58" s="26">
        <v>5.3800000000000001E-2</v>
      </c>
      <c r="AE58" t="s">
        <v>266</v>
      </c>
      <c r="AF58" s="33">
        <v>81463.09</v>
      </c>
      <c r="AG58" s="60">
        <v>81918.53</v>
      </c>
      <c r="AH58" s="60">
        <v>82786.429999999993</v>
      </c>
      <c r="AI58" s="60">
        <v>81397.69</v>
      </c>
      <c r="AJ58" t="s">
        <v>424</v>
      </c>
      <c r="AK58" s="26">
        <v>-3.5999999999999999E-3</v>
      </c>
      <c r="AM58" t="s">
        <v>264</v>
      </c>
      <c r="AN58">
        <v>13.83</v>
      </c>
      <c r="AO58">
        <v>13.99</v>
      </c>
      <c r="AP58">
        <v>14.17</v>
      </c>
      <c r="AQ58">
        <v>13.01</v>
      </c>
      <c r="AR58" t="s">
        <v>533</v>
      </c>
      <c r="AS58" s="26">
        <v>6.9999999999999999E-4</v>
      </c>
      <c r="AU58" t="s">
        <v>264</v>
      </c>
      <c r="AV58" s="33">
        <v>37.99</v>
      </c>
      <c r="AW58">
        <v>42.34</v>
      </c>
      <c r="AX58">
        <v>42.34</v>
      </c>
      <c r="AY58">
        <v>34.5</v>
      </c>
      <c r="AZ58" t="s">
        <v>636</v>
      </c>
      <c r="BA58" s="26">
        <v>-0.1474</v>
      </c>
      <c r="BC58" s="79" t="s">
        <v>264</v>
      </c>
      <c r="BD58" s="84">
        <v>20.21</v>
      </c>
      <c r="BE58">
        <v>18</v>
      </c>
      <c r="BF58">
        <v>20.9</v>
      </c>
      <c r="BG58">
        <v>17</v>
      </c>
      <c r="BH58" t="s">
        <v>742</v>
      </c>
      <c r="BI58" s="26">
        <v>0.14180000000000001</v>
      </c>
    </row>
    <row r="59" spans="2:61">
      <c r="B59" s="47" t="s">
        <v>79</v>
      </c>
      <c r="C59" s="33">
        <v>48.51</v>
      </c>
      <c r="D59">
        <v>4851</v>
      </c>
      <c r="E59">
        <v>40</v>
      </c>
      <c r="F59">
        <v>4851</v>
      </c>
      <c r="G59" t="s">
        <v>79</v>
      </c>
      <c r="H59" s="33">
        <v>7922311</v>
      </c>
      <c r="I59" s="33">
        <v>39500</v>
      </c>
      <c r="J59" s="33">
        <v>7922311</v>
      </c>
      <c r="M59" s="47">
        <v>45656</v>
      </c>
      <c r="N59" s="33">
        <v>48.51</v>
      </c>
      <c r="O59">
        <v>48.51</v>
      </c>
      <c r="P59">
        <v>48.51</v>
      </c>
      <c r="Q59">
        <v>48.51</v>
      </c>
      <c r="R59">
        <v>48.51</v>
      </c>
      <c r="S59">
        <v>40</v>
      </c>
      <c r="V59" s="58">
        <v>45812</v>
      </c>
      <c r="W59">
        <v>53.95</v>
      </c>
      <c r="X59">
        <v>55.02</v>
      </c>
      <c r="Y59">
        <v>60.8</v>
      </c>
      <c r="Z59">
        <v>49.05</v>
      </c>
      <c r="AA59" t="s">
        <v>291</v>
      </c>
      <c r="AB59" s="26">
        <v>-1.9400000000000001E-2</v>
      </c>
      <c r="AE59" t="s">
        <v>268</v>
      </c>
      <c r="AF59" s="33">
        <v>81757.73</v>
      </c>
      <c r="AG59" s="60">
        <v>82537.87</v>
      </c>
      <c r="AH59" s="60">
        <v>82784.75</v>
      </c>
      <c r="AI59" s="60">
        <v>81608.13</v>
      </c>
      <c r="AJ59" t="s">
        <v>425</v>
      </c>
      <c r="AK59" s="26">
        <v>-8.9999999999999993E-3</v>
      </c>
      <c r="AM59" t="s">
        <v>266</v>
      </c>
      <c r="AN59">
        <v>13.82</v>
      </c>
      <c r="AO59">
        <v>14.57</v>
      </c>
      <c r="AP59">
        <v>14.87</v>
      </c>
      <c r="AQ59">
        <v>13.41</v>
      </c>
      <c r="AR59" t="s">
        <v>534</v>
      </c>
      <c r="AS59" s="26">
        <v>-5.1499999999999997E-2</v>
      </c>
      <c r="AU59" t="s">
        <v>266</v>
      </c>
      <c r="AV59" s="33">
        <v>44.56</v>
      </c>
      <c r="AW59">
        <v>39.799999999999997</v>
      </c>
      <c r="AX59">
        <v>56.39</v>
      </c>
      <c r="AY59">
        <v>39.799999999999997</v>
      </c>
      <c r="AZ59" t="s">
        <v>637</v>
      </c>
      <c r="BA59" s="26">
        <v>0.1399</v>
      </c>
      <c r="BC59" s="79" t="s">
        <v>266</v>
      </c>
      <c r="BD59" s="84">
        <v>17.7</v>
      </c>
      <c r="BE59">
        <v>18.2</v>
      </c>
      <c r="BF59">
        <v>19</v>
      </c>
      <c r="BG59">
        <v>17.5</v>
      </c>
      <c r="BH59" t="s">
        <v>743</v>
      </c>
      <c r="BI59" s="26">
        <v>-3.9600000000000003E-2</v>
      </c>
    </row>
    <row r="60" spans="2:61">
      <c r="B60" s="47" t="s">
        <v>80</v>
      </c>
      <c r="C60" s="33">
        <v>48.51</v>
      </c>
      <c r="D60">
        <v>4851</v>
      </c>
      <c r="E60" t="s">
        <v>69</v>
      </c>
      <c r="F60">
        <v>4851</v>
      </c>
      <c r="G60" t="s">
        <v>80</v>
      </c>
      <c r="H60" s="33">
        <v>7869907</v>
      </c>
      <c r="I60" s="33">
        <v>29800</v>
      </c>
      <c r="J60" s="33">
        <v>7869907</v>
      </c>
      <c r="M60" s="47">
        <v>45649</v>
      </c>
      <c r="N60" s="33">
        <v>48.51</v>
      </c>
      <c r="O60">
        <v>48.51</v>
      </c>
      <c r="P60">
        <v>48.51</v>
      </c>
      <c r="Q60">
        <v>48.51</v>
      </c>
      <c r="R60">
        <v>48.51</v>
      </c>
      <c r="S60" t="s">
        <v>69</v>
      </c>
      <c r="V60" s="58" t="s">
        <v>292</v>
      </c>
      <c r="W60">
        <v>55.02</v>
      </c>
      <c r="X60">
        <v>50.39</v>
      </c>
      <c r="Y60">
        <v>56.99</v>
      </c>
      <c r="Z60">
        <v>50</v>
      </c>
      <c r="AA60" t="s">
        <v>293</v>
      </c>
      <c r="AB60" s="26">
        <v>9.7299999999999998E-2</v>
      </c>
      <c r="AE60" s="58">
        <v>45815</v>
      </c>
      <c r="AF60" s="33">
        <v>82500.47</v>
      </c>
      <c r="AG60" s="60">
        <v>83398.080000000002</v>
      </c>
      <c r="AH60" s="60">
        <v>83812.31</v>
      </c>
      <c r="AI60" s="60">
        <v>82442.25</v>
      </c>
      <c r="AJ60" t="s">
        <v>426</v>
      </c>
      <c r="AK60" s="26">
        <v>-1.12E-2</v>
      </c>
      <c r="AM60" t="s">
        <v>268</v>
      </c>
      <c r="AN60">
        <v>14.57</v>
      </c>
      <c r="AO60">
        <v>14.75</v>
      </c>
      <c r="AP60">
        <v>15.99</v>
      </c>
      <c r="AQ60">
        <v>14.5</v>
      </c>
      <c r="AR60" t="s">
        <v>535</v>
      </c>
      <c r="AS60" s="26">
        <v>-4.7999999999999996E-3</v>
      </c>
      <c r="AU60" t="s">
        <v>268</v>
      </c>
      <c r="AV60" s="33">
        <v>39.090000000000003</v>
      </c>
      <c r="AW60">
        <v>27.06</v>
      </c>
      <c r="AX60">
        <v>40.28</v>
      </c>
      <c r="AY60">
        <v>27.06</v>
      </c>
      <c r="AZ60" t="s">
        <v>638</v>
      </c>
      <c r="BA60" s="26">
        <v>0.37690000000000001</v>
      </c>
      <c r="BC60" s="79" t="s">
        <v>268</v>
      </c>
      <c r="BD60" s="84">
        <v>18.43</v>
      </c>
      <c r="BE60">
        <v>17.3</v>
      </c>
      <c r="BF60">
        <v>19.2</v>
      </c>
      <c r="BG60">
        <v>16.93</v>
      </c>
      <c r="BH60" t="s">
        <v>744</v>
      </c>
      <c r="BI60" s="26">
        <v>8.5999999999999993E-2</v>
      </c>
    </row>
    <row r="61" spans="2:61">
      <c r="B61" s="47" t="s">
        <v>81</v>
      </c>
      <c r="C61" s="33">
        <v>48.51</v>
      </c>
      <c r="D61">
        <v>4851</v>
      </c>
      <c r="E61">
        <v>30</v>
      </c>
      <c r="F61">
        <v>4851</v>
      </c>
      <c r="G61" t="s">
        <v>81</v>
      </c>
      <c r="H61" s="33">
        <v>7804159</v>
      </c>
      <c r="I61" s="33">
        <v>30300</v>
      </c>
      <c r="J61" s="33">
        <v>7804159</v>
      </c>
      <c r="M61" s="47">
        <v>45642</v>
      </c>
      <c r="N61" s="33">
        <v>48.51</v>
      </c>
      <c r="O61">
        <v>48.51</v>
      </c>
      <c r="P61">
        <v>48.51</v>
      </c>
      <c r="Q61">
        <v>48.51</v>
      </c>
      <c r="R61">
        <v>48.51</v>
      </c>
      <c r="S61">
        <v>30</v>
      </c>
      <c r="V61" s="58" t="s">
        <v>294</v>
      </c>
      <c r="W61">
        <v>50.14</v>
      </c>
      <c r="X61">
        <v>52.01</v>
      </c>
      <c r="Y61">
        <v>58</v>
      </c>
      <c r="Z61">
        <v>48.05</v>
      </c>
      <c r="AA61" t="s">
        <v>295</v>
      </c>
      <c r="AB61" s="26">
        <v>-9.8500000000000004E-2</v>
      </c>
      <c r="AE61" t="s">
        <v>271</v>
      </c>
      <c r="AF61" s="33">
        <v>83432.89</v>
      </c>
      <c r="AG61" s="60">
        <v>84027.33</v>
      </c>
      <c r="AH61" s="60">
        <v>84099.53</v>
      </c>
      <c r="AI61" s="60">
        <v>83015.83</v>
      </c>
      <c r="AJ61" t="s">
        <v>427</v>
      </c>
      <c r="AK61" s="26">
        <v>-7.4000000000000003E-3</v>
      </c>
      <c r="AM61" s="58">
        <v>45815</v>
      </c>
      <c r="AN61">
        <v>14.64</v>
      </c>
      <c r="AO61">
        <v>14.84</v>
      </c>
      <c r="AP61">
        <v>15.25</v>
      </c>
      <c r="AQ61">
        <v>14.5</v>
      </c>
      <c r="AR61" t="s">
        <v>536</v>
      </c>
      <c r="AS61" s="26">
        <v>-1.35E-2</v>
      </c>
      <c r="AU61" s="58">
        <v>45815</v>
      </c>
      <c r="AV61" s="33">
        <v>28.39</v>
      </c>
      <c r="AW61">
        <v>26.37</v>
      </c>
      <c r="AX61">
        <v>30.01</v>
      </c>
      <c r="AY61">
        <v>26.37</v>
      </c>
      <c r="AZ61" t="s">
        <v>639</v>
      </c>
      <c r="BA61" s="26">
        <v>7.6600000000000001E-2</v>
      </c>
      <c r="BC61" s="85">
        <v>45815</v>
      </c>
      <c r="BD61" s="84">
        <v>16.97</v>
      </c>
      <c r="BE61">
        <v>16.25</v>
      </c>
      <c r="BF61">
        <v>17.3</v>
      </c>
      <c r="BG61">
        <v>15.4</v>
      </c>
      <c r="BH61" t="s">
        <v>745</v>
      </c>
      <c r="BI61" s="26">
        <v>4.6199999999999998E-2</v>
      </c>
    </row>
    <row r="62" spans="2:61">
      <c r="B62" s="47" t="s">
        <v>82</v>
      </c>
      <c r="C62" s="33">
        <v>48.51</v>
      </c>
      <c r="D62">
        <v>4851</v>
      </c>
      <c r="E62">
        <v>1</v>
      </c>
      <c r="F62">
        <v>4851</v>
      </c>
      <c r="G62" t="s">
        <v>82</v>
      </c>
      <c r="H62" s="33">
        <v>8213312</v>
      </c>
      <c r="I62" s="33">
        <v>37400</v>
      </c>
      <c r="J62" s="33">
        <v>8213312</v>
      </c>
      <c r="M62" s="47">
        <v>45635</v>
      </c>
      <c r="N62" s="33">
        <v>48.51</v>
      </c>
      <c r="O62">
        <v>48.51</v>
      </c>
      <c r="P62">
        <v>48.51</v>
      </c>
      <c r="Q62">
        <v>48.51</v>
      </c>
      <c r="R62">
        <v>48.51</v>
      </c>
      <c r="S62">
        <v>1</v>
      </c>
      <c r="V62" s="58" t="s">
        <v>296</v>
      </c>
      <c r="W62">
        <v>55.62</v>
      </c>
      <c r="X62">
        <v>53.2</v>
      </c>
      <c r="Y62">
        <v>57.9</v>
      </c>
      <c r="Z62">
        <v>52.7</v>
      </c>
      <c r="AA62" t="s">
        <v>297</v>
      </c>
      <c r="AB62" s="26">
        <v>4.8399999999999999E-2</v>
      </c>
      <c r="AE62" t="s">
        <v>273</v>
      </c>
      <c r="AF62" s="33">
        <v>84058.9</v>
      </c>
      <c r="AG62" s="60">
        <v>81704.070000000007</v>
      </c>
      <c r="AH62" s="60">
        <v>84089.35</v>
      </c>
      <c r="AI62" s="60">
        <v>81476.759999999995</v>
      </c>
      <c r="AJ62" t="s">
        <v>428</v>
      </c>
      <c r="AK62" s="26">
        <v>0.02</v>
      </c>
      <c r="AM62" t="s">
        <v>271</v>
      </c>
      <c r="AN62">
        <v>14.84</v>
      </c>
      <c r="AO62">
        <v>14.4</v>
      </c>
      <c r="AP62">
        <v>15</v>
      </c>
      <c r="AQ62">
        <v>14.06</v>
      </c>
      <c r="AR62" t="s">
        <v>537</v>
      </c>
      <c r="AS62" s="26">
        <v>3.0599999999999999E-2</v>
      </c>
      <c r="AU62" t="s">
        <v>271</v>
      </c>
      <c r="AV62" s="33">
        <v>26.37</v>
      </c>
      <c r="AW62">
        <v>27.98</v>
      </c>
      <c r="AX62">
        <v>27.99</v>
      </c>
      <c r="AY62">
        <v>26</v>
      </c>
      <c r="AZ62" t="s">
        <v>640</v>
      </c>
      <c r="BA62" s="26">
        <v>-5.7500000000000002E-2</v>
      </c>
      <c r="BC62" s="79" t="s">
        <v>271</v>
      </c>
      <c r="BD62" s="84">
        <v>16.22</v>
      </c>
      <c r="BE62">
        <v>12.06</v>
      </c>
      <c r="BF62">
        <v>18.25</v>
      </c>
      <c r="BG62">
        <v>12.06</v>
      </c>
      <c r="BH62" t="s">
        <v>746</v>
      </c>
      <c r="BI62" s="26">
        <v>0.31869999999999998</v>
      </c>
    </row>
    <row r="63" spans="2:61">
      <c r="B63" s="47" t="s">
        <v>83</v>
      </c>
      <c r="C63" s="33">
        <v>46.2</v>
      </c>
      <c r="D63">
        <v>4620</v>
      </c>
      <c r="E63" t="s">
        <v>69</v>
      </c>
      <c r="F63">
        <v>4620</v>
      </c>
      <c r="G63" t="s">
        <v>83</v>
      </c>
      <c r="H63" s="33">
        <v>8170912</v>
      </c>
      <c r="I63" s="33">
        <v>40200</v>
      </c>
      <c r="J63" s="33">
        <v>8170912</v>
      </c>
      <c r="M63" s="47">
        <v>45628</v>
      </c>
      <c r="N63" s="33">
        <v>46.2</v>
      </c>
      <c r="O63">
        <v>46.2</v>
      </c>
      <c r="P63">
        <v>46.2</v>
      </c>
      <c r="Q63">
        <v>46.2</v>
      </c>
      <c r="R63">
        <v>46.2</v>
      </c>
      <c r="S63" t="s">
        <v>69</v>
      </c>
      <c r="V63" s="58">
        <v>45903</v>
      </c>
      <c r="W63">
        <v>53.05</v>
      </c>
      <c r="X63">
        <v>57.9</v>
      </c>
      <c r="Y63">
        <v>59</v>
      </c>
      <c r="Z63">
        <v>48.05</v>
      </c>
      <c r="AA63" t="s">
        <v>298</v>
      </c>
      <c r="AB63" s="26">
        <v>-5.1200000000000002E-2</v>
      </c>
      <c r="AE63" t="s">
        <v>275</v>
      </c>
      <c r="AF63" s="33">
        <v>82408.17</v>
      </c>
      <c r="AG63" s="60">
        <v>81034.45</v>
      </c>
      <c r="AH63" s="60">
        <v>82494.490000000005</v>
      </c>
      <c r="AI63" s="60">
        <v>81012.31</v>
      </c>
      <c r="AJ63" t="s">
        <v>429</v>
      </c>
      <c r="AK63" s="26">
        <v>1.5900000000000001E-2</v>
      </c>
      <c r="AM63" t="s">
        <v>273</v>
      </c>
      <c r="AN63">
        <v>14.4</v>
      </c>
      <c r="AO63">
        <v>14.4</v>
      </c>
      <c r="AP63">
        <v>15.21</v>
      </c>
      <c r="AQ63">
        <v>14.3</v>
      </c>
      <c r="AR63" t="s">
        <v>538</v>
      </c>
      <c r="AS63" s="26">
        <v>-2.1100000000000001E-2</v>
      </c>
      <c r="AU63" t="s">
        <v>273</v>
      </c>
      <c r="AV63" s="33">
        <v>27.98</v>
      </c>
      <c r="AW63">
        <v>28.6</v>
      </c>
      <c r="AX63">
        <v>29</v>
      </c>
      <c r="AY63">
        <v>25.8</v>
      </c>
      <c r="AZ63" t="s">
        <v>641</v>
      </c>
      <c r="BA63" s="26">
        <v>3.5099999999999999E-2</v>
      </c>
      <c r="BC63" s="79" t="s">
        <v>273</v>
      </c>
      <c r="BD63" s="84">
        <v>12.3</v>
      </c>
      <c r="BE63">
        <v>12</v>
      </c>
      <c r="BF63">
        <v>12.65</v>
      </c>
      <c r="BG63">
        <v>11.8</v>
      </c>
      <c r="BH63" t="s">
        <v>747</v>
      </c>
      <c r="BI63" s="26">
        <v>8.0000000000000004E-4</v>
      </c>
    </row>
    <row r="64" spans="2:61">
      <c r="B64" s="47" t="s">
        <v>84</v>
      </c>
      <c r="C64" s="33">
        <v>46.2</v>
      </c>
      <c r="D64">
        <v>4620</v>
      </c>
      <c r="E64" t="s">
        <v>69</v>
      </c>
      <c r="F64">
        <v>4620</v>
      </c>
      <c r="G64" t="s">
        <v>84</v>
      </c>
      <c r="H64" s="33">
        <v>7980279</v>
      </c>
      <c r="I64" s="33">
        <v>46900</v>
      </c>
      <c r="J64" s="33">
        <v>7980279</v>
      </c>
      <c r="M64" s="47">
        <v>45621</v>
      </c>
      <c r="N64" s="33">
        <v>46.2</v>
      </c>
      <c r="O64">
        <v>46.2</v>
      </c>
      <c r="P64">
        <v>46.2</v>
      </c>
      <c r="Q64">
        <v>46.2</v>
      </c>
      <c r="R64">
        <v>46.2</v>
      </c>
      <c r="S64" t="s">
        <v>69</v>
      </c>
      <c r="V64" s="58">
        <v>45691</v>
      </c>
      <c r="W64">
        <v>55.91</v>
      </c>
      <c r="X64">
        <v>57.15</v>
      </c>
      <c r="Y64">
        <v>59</v>
      </c>
      <c r="Z64">
        <v>52</v>
      </c>
      <c r="AA64" t="s">
        <v>299</v>
      </c>
      <c r="AB64" s="26">
        <v>-4.1300000000000003E-2</v>
      </c>
      <c r="AE64" s="58">
        <v>45875</v>
      </c>
      <c r="AF64" s="33">
        <v>81118.600000000006</v>
      </c>
      <c r="AG64" s="60">
        <v>82574.55</v>
      </c>
      <c r="AH64" s="60">
        <v>82783.509999999995</v>
      </c>
      <c r="AI64" s="60">
        <v>80354.59</v>
      </c>
      <c r="AJ64" t="s">
        <v>430</v>
      </c>
      <c r="AK64" s="26">
        <v>-1.2999999999999999E-2</v>
      </c>
      <c r="AM64" t="s">
        <v>275</v>
      </c>
      <c r="AN64">
        <v>14.71</v>
      </c>
      <c r="AO64">
        <v>14.77</v>
      </c>
      <c r="AP64">
        <v>15.44</v>
      </c>
      <c r="AQ64">
        <v>14.35</v>
      </c>
      <c r="AR64" t="s">
        <v>539</v>
      </c>
      <c r="AS64" s="26">
        <v>-8.8000000000000005E-3</v>
      </c>
      <c r="AU64" t="s">
        <v>275</v>
      </c>
      <c r="AV64" s="33">
        <v>27.03</v>
      </c>
      <c r="AW64">
        <v>29.56</v>
      </c>
      <c r="AX64">
        <v>30</v>
      </c>
      <c r="AY64">
        <v>26.56</v>
      </c>
      <c r="AZ64" t="s">
        <v>642</v>
      </c>
      <c r="BA64" s="26">
        <v>-4.9200000000000001E-2</v>
      </c>
      <c r="BC64" s="79" t="s">
        <v>275</v>
      </c>
      <c r="BD64" s="84">
        <v>12.29</v>
      </c>
      <c r="BE64">
        <v>11.85</v>
      </c>
      <c r="BF64">
        <v>12.74</v>
      </c>
      <c r="BG64">
        <v>11.8</v>
      </c>
      <c r="BH64" t="s">
        <v>748</v>
      </c>
      <c r="BI64" s="26">
        <v>3.2800000000000003E-2</v>
      </c>
    </row>
    <row r="65" spans="2:61">
      <c r="B65" s="47" t="s">
        <v>85</v>
      </c>
      <c r="C65" s="33">
        <v>46.2</v>
      </c>
      <c r="D65">
        <v>4620</v>
      </c>
      <c r="E65" t="s">
        <v>69</v>
      </c>
      <c r="F65">
        <v>4620</v>
      </c>
      <c r="G65" t="s">
        <v>85</v>
      </c>
      <c r="H65" s="33">
        <v>7911711</v>
      </c>
      <c r="I65" s="33">
        <v>41300</v>
      </c>
      <c r="J65" s="33">
        <v>7911711</v>
      </c>
      <c r="M65" s="47">
        <v>45614</v>
      </c>
      <c r="N65" s="33">
        <v>46.2</v>
      </c>
      <c r="O65">
        <v>46.2</v>
      </c>
      <c r="P65">
        <v>46.2</v>
      </c>
      <c r="Q65">
        <v>46.2</v>
      </c>
      <c r="R65">
        <v>46.2</v>
      </c>
      <c r="S65" t="s">
        <v>69</v>
      </c>
      <c r="V65" s="58" t="s">
        <v>300</v>
      </c>
      <c r="W65">
        <v>58.32</v>
      </c>
      <c r="X65">
        <v>57</v>
      </c>
      <c r="Y65">
        <v>64.75</v>
      </c>
      <c r="Z65">
        <v>53</v>
      </c>
      <c r="AA65" t="s">
        <v>301</v>
      </c>
      <c r="AB65" s="26">
        <v>2.8000000000000001E-2</v>
      </c>
      <c r="AE65" s="58">
        <v>45663</v>
      </c>
      <c r="AF65" s="33">
        <v>82188.990000000005</v>
      </c>
      <c r="AG65" s="60">
        <v>81214.42</v>
      </c>
      <c r="AH65" s="60">
        <v>82299.89</v>
      </c>
      <c r="AI65" s="60">
        <v>80575.09</v>
      </c>
      <c r="AJ65" t="s">
        <v>431</v>
      </c>
      <c r="AK65" s="26">
        <v>9.1000000000000004E-3</v>
      </c>
      <c r="AM65" s="58">
        <v>45875</v>
      </c>
      <c r="AN65">
        <v>14.84</v>
      </c>
      <c r="AO65">
        <v>15</v>
      </c>
      <c r="AP65">
        <v>15.15</v>
      </c>
      <c r="AQ65">
        <v>14.27</v>
      </c>
      <c r="AR65" t="s">
        <v>540</v>
      </c>
      <c r="AS65" s="26">
        <v>-6.9999999999999999E-4</v>
      </c>
      <c r="AU65" s="58">
        <v>45875</v>
      </c>
      <c r="AV65" s="33">
        <v>28.43</v>
      </c>
      <c r="AW65">
        <v>25.9</v>
      </c>
      <c r="AX65">
        <v>31</v>
      </c>
      <c r="AY65">
        <v>25.1</v>
      </c>
      <c r="AZ65" t="s">
        <v>643</v>
      </c>
      <c r="BA65" s="26">
        <v>9.35E-2</v>
      </c>
      <c r="BC65" s="85">
        <v>45875</v>
      </c>
      <c r="BD65" s="84">
        <v>11.9</v>
      </c>
      <c r="BE65">
        <v>11.39</v>
      </c>
      <c r="BF65">
        <v>14</v>
      </c>
      <c r="BG65">
        <v>11.39</v>
      </c>
      <c r="BH65" t="s">
        <v>749</v>
      </c>
      <c r="BI65" s="26">
        <v>1.6199999999999999E-2</v>
      </c>
    </row>
    <row r="66" spans="2:61">
      <c r="B66" s="47" t="s">
        <v>86</v>
      </c>
      <c r="C66" s="33">
        <v>46.2</v>
      </c>
      <c r="D66">
        <v>4620</v>
      </c>
      <c r="E66" t="s">
        <v>69</v>
      </c>
      <c r="F66">
        <v>4620</v>
      </c>
      <c r="G66" t="s">
        <v>86</v>
      </c>
      <c r="H66" s="33">
        <v>7758031</v>
      </c>
      <c r="I66" s="33">
        <v>40800</v>
      </c>
      <c r="J66" s="33">
        <v>7758031</v>
      </c>
      <c r="M66" s="47">
        <v>45607</v>
      </c>
      <c r="N66" s="33">
        <v>46.2</v>
      </c>
      <c r="O66">
        <v>46.2</v>
      </c>
      <c r="P66">
        <v>46.2</v>
      </c>
      <c r="Q66">
        <v>46.2</v>
      </c>
      <c r="R66">
        <v>46.2</v>
      </c>
      <c r="S66" t="s">
        <v>69</v>
      </c>
      <c r="V66" s="58" t="s">
        <v>302</v>
      </c>
      <c r="W66">
        <v>56.73</v>
      </c>
      <c r="X66">
        <v>53.51</v>
      </c>
      <c r="Y66">
        <v>61.2</v>
      </c>
      <c r="Z66">
        <v>48.82</v>
      </c>
      <c r="AA66" t="s">
        <v>303</v>
      </c>
      <c r="AB66" s="26">
        <v>6.0199999999999997E-2</v>
      </c>
      <c r="AE66" t="s">
        <v>279</v>
      </c>
      <c r="AF66" s="33">
        <v>81451.009999999995</v>
      </c>
      <c r="AG66" s="60">
        <v>81928.95</v>
      </c>
      <c r="AH66" s="60">
        <v>82492.240000000005</v>
      </c>
      <c r="AI66" s="60">
        <v>81106.98</v>
      </c>
      <c r="AJ66" t="s">
        <v>432</v>
      </c>
      <c r="AK66" s="26">
        <v>-3.3E-3</v>
      </c>
      <c r="AM66" s="58">
        <v>45663</v>
      </c>
      <c r="AN66">
        <v>14.85</v>
      </c>
      <c r="AO66">
        <v>14.94</v>
      </c>
      <c r="AP66">
        <v>15.48</v>
      </c>
      <c r="AQ66">
        <v>14</v>
      </c>
      <c r="AR66" t="s">
        <v>541</v>
      </c>
      <c r="AS66" s="26">
        <v>-1.72E-2</v>
      </c>
      <c r="AU66" s="58">
        <v>45663</v>
      </c>
      <c r="AV66" s="33">
        <v>26</v>
      </c>
      <c r="AW66">
        <v>25.59</v>
      </c>
      <c r="AX66">
        <v>27.59</v>
      </c>
      <c r="AY66">
        <v>25</v>
      </c>
      <c r="AZ66" t="s">
        <v>644</v>
      </c>
      <c r="BA66" s="26">
        <v>3.6299999999999999E-2</v>
      </c>
      <c r="BC66" s="85">
        <v>45663</v>
      </c>
      <c r="BD66" s="84">
        <v>11.71</v>
      </c>
      <c r="BE66">
        <v>11.99</v>
      </c>
      <c r="BF66">
        <v>11.99</v>
      </c>
      <c r="BG66">
        <v>11.25</v>
      </c>
      <c r="BH66" t="s">
        <v>750</v>
      </c>
      <c r="BI66" s="26">
        <v>2.5999999999999999E-3</v>
      </c>
    </row>
    <row r="67" spans="2:61">
      <c r="B67" s="47" t="s">
        <v>87</v>
      </c>
      <c r="C67" s="33">
        <v>46.2</v>
      </c>
      <c r="D67">
        <v>4620</v>
      </c>
      <c r="E67" t="s">
        <v>69</v>
      </c>
      <c r="F67">
        <v>4620</v>
      </c>
      <c r="G67" t="s">
        <v>87</v>
      </c>
      <c r="H67" s="33">
        <v>7948632</v>
      </c>
      <c r="I67" s="33">
        <v>56800</v>
      </c>
      <c r="J67" s="33">
        <v>7948632</v>
      </c>
      <c r="M67" s="47">
        <v>45600</v>
      </c>
      <c r="N67" s="33">
        <v>46.2</v>
      </c>
      <c r="O67">
        <v>46.2</v>
      </c>
      <c r="P67">
        <v>46.2</v>
      </c>
      <c r="Q67">
        <v>46.2</v>
      </c>
      <c r="R67">
        <v>46.2</v>
      </c>
      <c r="S67" t="s">
        <v>69</v>
      </c>
      <c r="V67" s="58">
        <v>45902</v>
      </c>
      <c r="W67">
        <v>53.51</v>
      </c>
      <c r="X67">
        <v>66</v>
      </c>
      <c r="Y67">
        <v>66</v>
      </c>
      <c r="Z67">
        <v>53.35</v>
      </c>
      <c r="AA67" t="s">
        <v>304</v>
      </c>
      <c r="AB67" s="26">
        <v>-0.1221</v>
      </c>
      <c r="AE67" t="s">
        <v>281</v>
      </c>
      <c r="AF67" s="33">
        <v>81721.08</v>
      </c>
      <c r="AG67" s="60">
        <v>82354.92</v>
      </c>
      <c r="AH67" s="60">
        <v>82424.100000000006</v>
      </c>
      <c r="AI67" s="60">
        <v>80489.919999999998</v>
      </c>
      <c r="AJ67" t="s">
        <v>433</v>
      </c>
      <c r="AK67" s="26">
        <v>-7.4000000000000003E-3</v>
      </c>
      <c r="AM67" t="s">
        <v>279</v>
      </c>
      <c r="AN67">
        <v>15.11</v>
      </c>
      <c r="AO67">
        <v>13.99</v>
      </c>
      <c r="AP67">
        <v>15.51</v>
      </c>
      <c r="AQ67">
        <v>13.9</v>
      </c>
      <c r="AR67" t="s">
        <v>542</v>
      </c>
      <c r="AS67" s="26">
        <v>8.0100000000000005E-2</v>
      </c>
      <c r="AU67" t="s">
        <v>279</v>
      </c>
      <c r="AV67" s="33">
        <v>25.09</v>
      </c>
      <c r="AW67">
        <v>25.94</v>
      </c>
      <c r="AX67">
        <v>25.94</v>
      </c>
      <c r="AY67">
        <v>24.95</v>
      </c>
      <c r="AZ67" t="s">
        <v>645</v>
      </c>
      <c r="BA67" s="26">
        <v>3.5999999999999999E-3</v>
      </c>
      <c r="BC67" s="79" t="s">
        <v>279</v>
      </c>
      <c r="BD67" s="84">
        <v>11.68</v>
      </c>
      <c r="BE67">
        <v>11.92</v>
      </c>
      <c r="BF67">
        <v>12.45</v>
      </c>
      <c r="BG67">
        <v>11.43</v>
      </c>
      <c r="BH67" t="s">
        <v>751</v>
      </c>
      <c r="BI67" s="26">
        <v>-3.95E-2</v>
      </c>
    </row>
    <row r="68" spans="2:61">
      <c r="B68" s="47" t="s">
        <v>88</v>
      </c>
      <c r="C68" s="33">
        <v>46.2</v>
      </c>
      <c r="D68">
        <v>4620</v>
      </c>
      <c r="E68" t="s">
        <v>69</v>
      </c>
      <c r="F68">
        <v>4620</v>
      </c>
      <c r="G68" t="s">
        <v>88</v>
      </c>
      <c r="H68" s="33">
        <v>7972412</v>
      </c>
      <c r="I68" s="33">
        <v>37900</v>
      </c>
      <c r="J68" s="33">
        <v>7972412</v>
      </c>
      <c r="M68" s="47">
        <v>45593</v>
      </c>
      <c r="N68" s="33">
        <v>46.2</v>
      </c>
      <c r="O68">
        <v>46.2</v>
      </c>
      <c r="P68">
        <v>46.2</v>
      </c>
      <c r="Q68">
        <v>46.2</v>
      </c>
      <c r="R68">
        <v>46.2</v>
      </c>
      <c r="S68" t="s">
        <v>69</v>
      </c>
      <c r="V68" s="58">
        <v>45690</v>
      </c>
      <c r="W68">
        <v>60.95</v>
      </c>
      <c r="X68">
        <v>60.1</v>
      </c>
      <c r="Y68">
        <v>64.86</v>
      </c>
      <c r="Z68">
        <v>56</v>
      </c>
      <c r="AA68" t="s">
        <v>305</v>
      </c>
      <c r="AB68" s="26">
        <v>-2.4799999999999999E-2</v>
      </c>
      <c r="AE68" s="58">
        <v>45966</v>
      </c>
      <c r="AF68" s="33">
        <v>82330.59</v>
      </c>
      <c r="AG68" s="60">
        <v>80803.8</v>
      </c>
      <c r="AH68" s="60">
        <v>82718.14</v>
      </c>
      <c r="AI68" s="60">
        <v>80651.070000000007</v>
      </c>
      <c r="AJ68" t="s">
        <v>434</v>
      </c>
      <c r="AK68" s="26">
        <v>3.6200000000000003E-2</v>
      </c>
      <c r="AM68" t="s">
        <v>281</v>
      </c>
      <c r="AN68">
        <v>13.99</v>
      </c>
      <c r="AO68">
        <v>14</v>
      </c>
      <c r="AP68">
        <v>14.32</v>
      </c>
      <c r="AQ68">
        <v>13.8</v>
      </c>
      <c r="AR68" t="s">
        <v>543</v>
      </c>
      <c r="AS68" s="26">
        <v>-9.9000000000000008E-3</v>
      </c>
      <c r="AU68" t="s">
        <v>281</v>
      </c>
      <c r="AV68" s="33">
        <v>25</v>
      </c>
      <c r="AW68">
        <v>26</v>
      </c>
      <c r="AX68">
        <v>27.49</v>
      </c>
      <c r="AY68">
        <v>25</v>
      </c>
      <c r="AZ68" t="s">
        <v>646</v>
      </c>
      <c r="BA68" s="26">
        <v>-1.77E-2</v>
      </c>
      <c r="BC68" s="79" t="s">
        <v>281</v>
      </c>
      <c r="BD68" s="84">
        <v>12.16</v>
      </c>
      <c r="BE68">
        <v>12.25</v>
      </c>
      <c r="BF68">
        <v>12.5</v>
      </c>
      <c r="BG68">
        <v>11.77</v>
      </c>
      <c r="BH68" t="s">
        <v>752</v>
      </c>
      <c r="BI68" s="26">
        <v>-7.3000000000000001E-3</v>
      </c>
    </row>
    <row r="69" spans="2:61">
      <c r="B69" s="47" t="s">
        <v>89</v>
      </c>
      <c r="C69" s="33">
        <v>46.2</v>
      </c>
      <c r="D69">
        <v>4620</v>
      </c>
      <c r="E69" t="s">
        <v>69</v>
      </c>
      <c r="F69">
        <v>4620</v>
      </c>
      <c r="G69" t="s">
        <v>89</v>
      </c>
      <c r="H69" s="33">
        <v>7940229</v>
      </c>
      <c r="I69" s="33">
        <v>38100</v>
      </c>
      <c r="J69" s="33">
        <v>7940229</v>
      </c>
      <c r="M69" s="47">
        <v>45586</v>
      </c>
      <c r="N69" s="33">
        <v>46.2</v>
      </c>
      <c r="O69">
        <v>46.2</v>
      </c>
      <c r="P69">
        <v>46.2</v>
      </c>
      <c r="Q69">
        <v>46.2</v>
      </c>
      <c r="R69">
        <v>46.2</v>
      </c>
      <c r="S69" t="s">
        <v>69</v>
      </c>
      <c r="V69" s="58" t="s">
        <v>306</v>
      </c>
      <c r="W69">
        <v>62.5</v>
      </c>
      <c r="X69">
        <v>60.03</v>
      </c>
      <c r="Y69">
        <v>65.86</v>
      </c>
      <c r="Z69">
        <v>56.3</v>
      </c>
      <c r="AA69" t="s">
        <v>307</v>
      </c>
      <c r="AB69" s="26">
        <v>8.0000000000000004E-4</v>
      </c>
      <c r="AE69" s="58">
        <v>45752</v>
      </c>
      <c r="AF69" s="33">
        <v>79454.47</v>
      </c>
      <c r="AG69" s="60">
        <v>80661.62</v>
      </c>
      <c r="AH69" s="60">
        <v>81049.03</v>
      </c>
      <c r="AI69" s="60">
        <v>78968.34</v>
      </c>
      <c r="AJ69" t="s">
        <v>435</v>
      </c>
      <c r="AK69" s="26">
        <v>-1.2999999999999999E-2</v>
      </c>
      <c r="AM69" s="58">
        <v>45966</v>
      </c>
      <c r="AN69">
        <v>14.13</v>
      </c>
      <c r="AO69">
        <v>13.6</v>
      </c>
      <c r="AP69">
        <v>14.52</v>
      </c>
      <c r="AQ69">
        <v>13.4</v>
      </c>
      <c r="AR69" t="s">
        <v>544</v>
      </c>
      <c r="AS69" s="26">
        <v>6.2399999999999997E-2</v>
      </c>
      <c r="AU69" s="58">
        <v>45966</v>
      </c>
      <c r="AV69" s="33">
        <v>25.45</v>
      </c>
      <c r="AW69">
        <v>25.45</v>
      </c>
      <c r="AX69">
        <v>25.96</v>
      </c>
      <c r="AY69">
        <v>25.25</v>
      </c>
      <c r="AZ69" t="s">
        <v>647</v>
      </c>
      <c r="BA69" s="26">
        <v>5.8999999999999999E-3</v>
      </c>
      <c r="BC69" s="85">
        <v>45966</v>
      </c>
      <c r="BD69" s="84">
        <v>12.25</v>
      </c>
      <c r="BE69">
        <v>11</v>
      </c>
      <c r="BF69">
        <v>12.83</v>
      </c>
      <c r="BG69">
        <v>11</v>
      </c>
      <c r="BH69" t="s">
        <v>753</v>
      </c>
      <c r="BI69" s="26">
        <v>0.1197</v>
      </c>
    </row>
    <row r="70" spans="2:61">
      <c r="B70" s="47" t="s">
        <v>90</v>
      </c>
      <c r="C70" s="33">
        <v>46.2</v>
      </c>
      <c r="D70">
        <v>4620</v>
      </c>
      <c r="E70">
        <v>208</v>
      </c>
      <c r="F70">
        <v>4620</v>
      </c>
      <c r="G70" t="s">
        <v>90</v>
      </c>
      <c r="H70" s="33">
        <v>8122475</v>
      </c>
      <c r="I70" s="33">
        <v>34900</v>
      </c>
      <c r="J70" s="33">
        <v>8122475</v>
      </c>
      <c r="M70" s="47">
        <v>45579</v>
      </c>
      <c r="N70" s="33">
        <v>46.2</v>
      </c>
      <c r="O70">
        <v>46.2</v>
      </c>
      <c r="P70">
        <v>41.8</v>
      </c>
      <c r="Q70">
        <v>46.2</v>
      </c>
      <c r="R70">
        <v>46.2</v>
      </c>
      <c r="S70">
        <v>208</v>
      </c>
      <c r="V70" s="58" t="s">
        <v>308</v>
      </c>
      <c r="W70">
        <v>62.45</v>
      </c>
      <c r="X70">
        <v>63.9</v>
      </c>
      <c r="Y70">
        <v>63.9</v>
      </c>
      <c r="Z70">
        <v>60</v>
      </c>
      <c r="AA70" t="s">
        <v>309</v>
      </c>
      <c r="AB70" s="26">
        <v>2.7000000000000001E-3</v>
      </c>
      <c r="AE70" t="s">
        <v>285</v>
      </c>
      <c r="AF70" s="33">
        <v>80501.990000000005</v>
      </c>
      <c r="AG70" s="60">
        <v>79343.63</v>
      </c>
      <c r="AH70" s="60">
        <v>81177.929999999993</v>
      </c>
      <c r="AI70" s="60">
        <v>79341.350000000006</v>
      </c>
      <c r="AJ70" t="s">
        <v>436</v>
      </c>
      <c r="AK70" s="26">
        <v>1.6299999999999999E-2</v>
      </c>
      <c r="AM70" s="58">
        <v>45752</v>
      </c>
      <c r="AN70">
        <v>13.3</v>
      </c>
      <c r="AO70">
        <v>13.8</v>
      </c>
      <c r="AP70">
        <v>14.1</v>
      </c>
      <c r="AQ70">
        <v>12.73</v>
      </c>
      <c r="AR70" t="s">
        <v>545</v>
      </c>
      <c r="AS70" s="26">
        <v>-3.6900000000000002E-2</v>
      </c>
      <c r="AU70" s="58">
        <v>45752</v>
      </c>
      <c r="AV70" s="33">
        <v>25.3</v>
      </c>
      <c r="AW70">
        <v>27</v>
      </c>
      <c r="AX70">
        <v>27</v>
      </c>
      <c r="AY70">
        <v>25.25</v>
      </c>
      <c r="AZ70" t="s">
        <v>648</v>
      </c>
      <c r="BA70" s="26">
        <v>0</v>
      </c>
      <c r="BC70" s="85">
        <v>45752</v>
      </c>
      <c r="BD70" s="84">
        <v>10.94</v>
      </c>
      <c r="BE70">
        <v>11.74</v>
      </c>
      <c r="BF70">
        <v>11.74</v>
      </c>
      <c r="BG70">
        <v>10.6</v>
      </c>
      <c r="BH70" t="s">
        <v>754</v>
      </c>
      <c r="BI70" s="26">
        <v>-4.6199999999999998E-2</v>
      </c>
    </row>
    <row r="71" spans="2:61">
      <c r="B71" s="47" t="s">
        <v>91</v>
      </c>
      <c r="C71" s="33">
        <v>44</v>
      </c>
      <c r="D71">
        <v>4400</v>
      </c>
      <c r="E71" t="s">
        <v>69</v>
      </c>
      <c r="F71">
        <v>4400</v>
      </c>
      <c r="G71" t="s">
        <v>91</v>
      </c>
      <c r="H71" s="33">
        <v>8138136</v>
      </c>
      <c r="I71" s="33">
        <v>48700</v>
      </c>
      <c r="J71" s="33">
        <v>8138136</v>
      </c>
      <c r="M71" s="47">
        <v>45572</v>
      </c>
      <c r="N71" s="33">
        <v>44</v>
      </c>
      <c r="O71">
        <v>44</v>
      </c>
      <c r="P71">
        <v>44</v>
      </c>
      <c r="Q71">
        <v>44</v>
      </c>
      <c r="R71">
        <v>44</v>
      </c>
      <c r="S71" t="s">
        <v>69</v>
      </c>
      <c r="V71" s="58">
        <v>45992</v>
      </c>
      <c r="W71">
        <v>62.28</v>
      </c>
      <c r="X71">
        <v>64.37</v>
      </c>
      <c r="Y71">
        <v>64.37</v>
      </c>
      <c r="Z71">
        <v>59.41</v>
      </c>
      <c r="AA71" t="s">
        <v>310</v>
      </c>
      <c r="AB71" s="26">
        <v>-1.32E-2</v>
      </c>
      <c r="AE71" t="s">
        <v>287</v>
      </c>
      <c r="AF71" s="33">
        <v>79212.53</v>
      </c>
      <c r="AG71" s="60">
        <v>78903.09</v>
      </c>
      <c r="AH71" s="60">
        <v>80254.55</v>
      </c>
      <c r="AI71" s="60">
        <v>78605.81</v>
      </c>
      <c r="AJ71" t="s">
        <v>437</v>
      </c>
      <c r="AK71" s="26">
        <v>8.3999999999999995E-3</v>
      </c>
      <c r="AM71" t="s">
        <v>285</v>
      </c>
      <c r="AN71">
        <v>13.81</v>
      </c>
      <c r="AO71">
        <v>13.6</v>
      </c>
      <c r="AP71">
        <v>15</v>
      </c>
      <c r="AQ71">
        <v>13.6</v>
      </c>
      <c r="AR71" t="s">
        <v>546</v>
      </c>
      <c r="AS71" s="26">
        <v>3.4500000000000003E-2</v>
      </c>
      <c r="AU71" t="s">
        <v>285</v>
      </c>
      <c r="AV71" s="33">
        <v>25.3</v>
      </c>
      <c r="AW71">
        <v>25.3</v>
      </c>
      <c r="AX71">
        <v>25.96</v>
      </c>
      <c r="AY71">
        <v>25.25</v>
      </c>
      <c r="AZ71" t="s">
        <v>649</v>
      </c>
      <c r="BA71" s="26">
        <v>2E-3</v>
      </c>
      <c r="BC71" s="79" t="s">
        <v>285</v>
      </c>
      <c r="BD71" s="84">
        <v>11.47</v>
      </c>
      <c r="BE71">
        <v>11.76</v>
      </c>
      <c r="BF71">
        <v>12.49</v>
      </c>
      <c r="BG71">
        <v>11.15</v>
      </c>
      <c r="BH71" t="s">
        <v>755</v>
      </c>
      <c r="BI71" s="26">
        <v>-3.61E-2</v>
      </c>
    </row>
    <row r="72" spans="2:61">
      <c r="B72" s="47" t="s">
        <v>92</v>
      </c>
      <c r="C72" s="33">
        <v>44</v>
      </c>
      <c r="D72">
        <v>4400</v>
      </c>
      <c r="E72">
        <v>220</v>
      </c>
      <c r="F72">
        <v>4400</v>
      </c>
      <c r="G72" t="s">
        <v>92</v>
      </c>
      <c r="H72" s="33">
        <v>8168845</v>
      </c>
      <c r="I72" s="33">
        <v>55900</v>
      </c>
      <c r="J72" s="33">
        <v>8168845</v>
      </c>
      <c r="M72" s="47">
        <v>45565</v>
      </c>
      <c r="N72" s="33">
        <v>44</v>
      </c>
      <c r="O72">
        <v>44</v>
      </c>
      <c r="P72">
        <v>44</v>
      </c>
      <c r="Q72">
        <v>44</v>
      </c>
      <c r="R72">
        <v>44</v>
      </c>
      <c r="S72">
        <v>220</v>
      </c>
      <c r="V72" s="58">
        <v>45778</v>
      </c>
      <c r="W72">
        <v>63.11</v>
      </c>
      <c r="X72">
        <v>65.099999999999994</v>
      </c>
      <c r="Y72">
        <v>68.25</v>
      </c>
      <c r="Z72">
        <v>55</v>
      </c>
      <c r="AA72" t="s">
        <v>311</v>
      </c>
      <c r="AB72" s="26">
        <v>-3.78E-2</v>
      </c>
      <c r="AE72" t="s">
        <v>289</v>
      </c>
      <c r="AF72" s="33">
        <v>78553.2</v>
      </c>
      <c r="AG72" s="60">
        <v>76852.06</v>
      </c>
      <c r="AH72" s="60">
        <v>78616.77</v>
      </c>
      <c r="AI72" s="60">
        <v>76435.070000000007</v>
      </c>
      <c r="AJ72" t="s">
        <v>438</v>
      </c>
      <c r="AK72" s="26">
        <v>4.5199999999999997E-2</v>
      </c>
      <c r="AM72" t="s">
        <v>287</v>
      </c>
      <c r="AN72">
        <v>13.35</v>
      </c>
      <c r="AO72">
        <v>14.35</v>
      </c>
      <c r="AP72">
        <v>14.83</v>
      </c>
      <c r="AQ72">
        <v>12.99</v>
      </c>
      <c r="AR72" t="s">
        <v>547</v>
      </c>
      <c r="AS72" s="26">
        <v>-3.4000000000000002E-2</v>
      </c>
      <c r="AU72" t="s">
        <v>287</v>
      </c>
      <c r="AV72" s="33">
        <v>25.25</v>
      </c>
      <c r="AW72">
        <v>25.3</v>
      </c>
      <c r="AX72">
        <v>25.5</v>
      </c>
      <c r="AY72">
        <v>25.25</v>
      </c>
      <c r="AZ72" t="s">
        <v>650</v>
      </c>
      <c r="BA72" s="26">
        <v>-9.7999999999999997E-3</v>
      </c>
      <c r="BC72" s="79" t="s">
        <v>287</v>
      </c>
      <c r="BD72" s="84">
        <v>11.9</v>
      </c>
      <c r="BE72">
        <v>12.49</v>
      </c>
      <c r="BF72">
        <v>12.97</v>
      </c>
      <c r="BG72">
        <v>10.51</v>
      </c>
      <c r="BH72" t="s">
        <v>756</v>
      </c>
      <c r="BI72" s="26">
        <v>-4.7199999999999999E-2</v>
      </c>
    </row>
    <row r="73" spans="2:61">
      <c r="B73" s="47" t="s">
        <v>93</v>
      </c>
      <c r="C73" s="33">
        <v>45</v>
      </c>
      <c r="D73">
        <v>4500</v>
      </c>
      <c r="E73" t="s">
        <v>69</v>
      </c>
      <c r="F73">
        <v>4500</v>
      </c>
      <c r="G73" t="s">
        <v>93</v>
      </c>
      <c r="H73" s="33">
        <v>8557185</v>
      </c>
      <c r="I73" s="33">
        <v>51800</v>
      </c>
      <c r="J73" s="33">
        <v>8557185</v>
      </c>
      <c r="M73" s="47">
        <v>45558</v>
      </c>
      <c r="N73" s="33">
        <v>45</v>
      </c>
      <c r="O73">
        <v>45</v>
      </c>
      <c r="P73">
        <v>45</v>
      </c>
      <c r="Q73">
        <v>45</v>
      </c>
      <c r="R73">
        <v>45</v>
      </c>
      <c r="S73" t="s">
        <v>69</v>
      </c>
      <c r="V73" s="58" t="s">
        <v>312</v>
      </c>
      <c r="W73">
        <v>65.59</v>
      </c>
      <c r="X73">
        <v>66.489999999999995</v>
      </c>
      <c r="Y73">
        <v>70.989999999999995</v>
      </c>
      <c r="Z73">
        <v>63.21</v>
      </c>
      <c r="AA73" t="s">
        <v>313</v>
      </c>
      <c r="AB73" s="26">
        <v>-1.35E-2</v>
      </c>
      <c r="AE73" s="58">
        <v>45812</v>
      </c>
      <c r="AF73" s="33">
        <v>75157.259999999995</v>
      </c>
      <c r="AG73" s="60">
        <v>71449.94</v>
      </c>
      <c r="AH73" s="60">
        <v>75467.33</v>
      </c>
      <c r="AI73" s="60">
        <v>71425.009999999995</v>
      </c>
      <c r="AJ73" t="s">
        <v>439</v>
      </c>
      <c r="AK73" s="26">
        <v>-2.8E-3</v>
      </c>
      <c r="AM73" t="s">
        <v>289</v>
      </c>
      <c r="AN73">
        <v>13.82</v>
      </c>
      <c r="AO73">
        <v>14.65</v>
      </c>
      <c r="AP73">
        <v>14.79</v>
      </c>
      <c r="AQ73">
        <v>13.45</v>
      </c>
      <c r="AR73" t="s">
        <v>548</v>
      </c>
      <c r="AS73" s="26">
        <v>-3.7600000000000001E-2</v>
      </c>
      <c r="AU73" t="s">
        <v>289</v>
      </c>
      <c r="AV73" s="33">
        <v>25.5</v>
      </c>
      <c r="AW73">
        <v>25.43</v>
      </c>
      <c r="AX73">
        <v>25.55</v>
      </c>
      <c r="AY73">
        <v>25.3</v>
      </c>
      <c r="AZ73" t="s">
        <v>651</v>
      </c>
      <c r="BA73" s="26">
        <v>2.8E-3</v>
      </c>
      <c r="BC73" s="79" t="s">
        <v>289</v>
      </c>
      <c r="BD73" s="84">
        <v>12.49</v>
      </c>
      <c r="BE73">
        <v>12.6</v>
      </c>
      <c r="BF73">
        <v>12.72</v>
      </c>
      <c r="BG73">
        <v>11.92</v>
      </c>
      <c r="BH73" t="s">
        <v>757</v>
      </c>
      <c r="BI73" s="26">
        <v>-6.4000000000000003E-3</v>
      </c>
    </row>
    <row r="74" spans="2:61">
      <c r="B74" s="47" t="s">
        <v>94</v>
      </c>
      <c r="C74" s="33">
        <v>45</v>
      </c>
      <c r="D74">
        <v>4500</v>
      </c>
      <c r="E74" t="s">
        <v>69</v>
      </c>
      <c r="F74">
        <v>4500</v>
      </c>
      <c r="G74" t="s">
        <v>94</v>
      </c>
      <c r="H74" s="33">
        <v>8454431</v>
      </c>
      <c r="I74" s="33">
        <v>57100</v>
      </c>
      <c r="J74" s="33">
        <v>8454431</v>
      </c>
      <c r="M74" s="47">
        <v>45551</v>
      </c>
      <c r="N74" s="33">
        <v>45</v>
      </c>
      <c r="O74">
        <v>45</v>
      </c>
      <c r="P74">
        <v>45</v>
      </c>
      <c r="Q74">
        <v>45</v>
      </c>
      <c r="R74">
        <v>45</v>
      </c>
      <c r="S74" t="s">
        <v>69</v>
      </c>
      <c r="V74" s="58" t="s">
        <v>314</v>
      </c>
      <c r="W74">
        <v>66.489999999999995</v>
      </c>
      <c r="X74">
        <v>66.87</v>
      </c>
      <c r="Y74">
        <v>70.7</v>
      </c>
      <c r="Z74">
        <v>62.07</v>
      </c>
      <c r="AA74" t="s">
        <v>315</v>
      </c>
      <c r="AB74" s="26">
        <v>1.4200000000000001E-2</v>
      </c>
      <c r="AE74" t="s">
        <v>292</v>
      </c>
      <c r="AF74" s="33">
        <v>75364.69</v>
      </c>
      <c r="AG74" s="60">
        <v>76882.58</v>
      </c>
      <c r="AH74" s="60">
        <v>77487.05</v>
      </c>
      <c r="AI74" s="60">
        <v>75240.55</v>
      </c>
      <c r="AJ74" t="s">
        <v>440</v>
      </c>
      <c r="AK74" s="26">
        <v>-2.6499999999999999E-2</v>
      </c>
      <c r="AM74" s="58">
        <v>45812</v>
      </c>
      <c r="AN74">
        <v>14.36</v>
      </c>
      <c r="AO74">
        <v>12.51</v>
      </c>
      <c r="AP74">
        <v>14.94</v>
      </c>
      <c r="AQ74">
        <v>12.51</v>
      </c>
      <c r="AR74" t="s">
        <v>544</v>
      </c>
      <c r="AS74" s="26">
        <v>-5.4999999999999997E-3</v>
      </c>
      <c r="AU74" s="58">
        <v>45812</v>
      </c>
      <c r="AV74" s="33">
        <v>25.43</v>
      </c>
      <c r="AW74">
        <v>25.47</v>
      </c>
      <c r="AX74">
        <v>25.5</v>
      </c>
      <c r="AY74">
        <v>25.3</v>
      </c>
      <c r="AZ74" t="s">
        <v>652</v>
      </c>
      <c r="BA74" s="26">
        <v>-2.3999999999999998E-3</v>
      </c>
      <c r="BC74" s="85">
        <v>45812</v>
      </c>
      <c r="BD74" s="84">
        <v>12.57</v>
      </c>
      <c r="BE74">
        <v>13.01</v>
      </c>
      <c r="BF74">
        <v>13.23</v>
      </c>
      <c r="BG74">
        <v>11.87</v>
      </c>
      <c r="BH74" t="s">
        <v>758</v>
      </c>
      <c r="BI74" s="26">
        <v>-8.4500000000000006E-2</v>
      </c>
    </row>
    <row r="75" spans="2:61">
      <c r="B75" s="47" t="s">
        <v>95</v>
      </c>
      <c r="C75" s="33">
        <v>45</v>
      </c>
      <c r="D75">
        <v>4500</v>
      </c>
      <c r="E75">
        <v>8</v>
      </c>
      <c r="F75">
        <v>4500</v>
      </c>
      <c r="G75" t="s">
        <v>95</v>
      </c>
      <c r="H75" s="33">
        <v>8289094</v>
      </c>
      <c r="I75" s="33">
        <v>42200</v>
      </c>
      <c r="J75" s="33">
        <v>8289094</v>
      </c>
      <c r="M75" s="47">
        <v>45544</v>
      </c>
      <c r="N75" s="33">
        <v>45</v>
      </c>
      <c r="O75">
        <v>45</v>
      </c>
      <c r="P75">
        <v>45</v>
      </c>
      <c r="Q75">
        <v>45</v>
      </c>
      <c r="R75">
        <v>45</v>
      </c>
      <c r="S75">
        <v>8</v>
      </c>
      <c r="V75" s="58" t="s">
        <v>316</v>
      </c>
      <c r="W75">
        <v>65.56</v>
      </c>
      <c r="X75">
        <v>72.72</v>
      </c>
      <c r="Y75">
        <v>75</v>
      </c>
      <c r="Z75">
        <v>65.25</v>
      </c>
      <c r="AA75" t="s">
        <v>317</v>
      </c>
      <c r="AB75" s="26">
        <v>-5.9900000000000002E-2</v>
      </c>
      <c r="AE75" t="s">
        <v>294</v>
      </c>
      <c r="AF75" s="33">
        <v>77414.92</v>
      </c>
      <c r="AG75" s="60">
        <v>77456.27</v>
      </c>
      <c r="AH75" s="60">
        <v>78741.69</v>
      </c>
      <c r="AI75" s="60">
        <v>77082.509999999995</v>
      </c>
      <c r="AJ75" t="s">
        <v>441</v>
      </c>
      <c r="AK75" s="26">
        <v>6.6E-3</v>
      </c>
      <c r="AM75" t="s">
        <v>292</v>
      </c>
      <c r="AN75">
        <v>14.44</v>
      </c>
      <c r="AO75">
        <v>14.19</v>
      </c>
      <c r="AP75">
        <v>15.25</v>
      </c>
      <c r="AQ75">
        <v>13.23</v>
      </c>
      <c r="AR75" t="s">
        <v>549</v>
      </c>
      <c r="AS75" s="26">
        <v>8.3299999999999999E-2</v>
      </c>
      <c r="AU75" t="s">
        <v>292</v>
      </c>
      <c r="AV75" s="33">
        <v>25.49</v>
      </c>
      <c r="AW75">
        <v>25.35</v>
      </c>
      <c r="AX75">
        <v>26.5</v>
      </c>
      <c r="AY75">
        <v>25.25</v>
      </c>
      <c r="AZ75" t="s">
        <v>653</v>
      </c>
      <c r="BA75" s="26">
        <v>7.4999999999999997E-3</v>
      </c>
      <c r="BC75" s="79" t="s">
        <v>292</v>
      </c>
      <c r="BD75" s="84">
        <v>13.73</v>
      </c>
      <c r="BE75">
        <v>11.25</v>
      </c>
      <c r="BF75">
        <v>14.32</v>
      </c>
      <c r="BG75">
        <v>10.75</v>
      </c>
      <c r="BH75" t="s">
        <v>759</v>
      </c>
      <c r="BI75" s="26">
        <v>0.28199999999999997</v>
      </c>
    </row>
    <row r="76" spans="2:61">
      <c r="B76" s="47" t="s">
        <v>96</v>
      </c>
      <c r="C76" s="33">
        <v>46</v>
      </c>
      <c r="D76">
        <v>4600</v>
      </c>
      <c r="E76">
        <v>24</v>
      </c>
      <c r="F76">
        <v>4600</v>
      </c>
      <c r="G76" t="s">
        <v>96</v>
      </c>
      <c r="H76" s="33">
        <v>8118393</v>
      </c>
      <c r="I76" s="33">
        <v>44400</v>
      </c>
      <c r="J76" s="33">
        <v>8118393</v>
      </c>
      <c r="M76" s="47">
        <v>45537</v>
      </c>
      <c r="N76" s="33">
        <v>46</v>
      </c>
      <c r="O76">
        <v>46</v>
      </c>
      <c r="P76">
        <v>45.3</v>
      </c>
      <c r="Q76">
        <v>46</v>
      </c>
      <c r="R76">
        <v>46</v>
      </c>
      <c r="S76">
        <v>24</v>
      </c>
      <c r="V76" s="58">
        <v>45516</v>
      </c>
      <c r="W76">
        <v>69.739999999999995</v>
      </c>
      <c r="X76">
        <v>73</v>
      </c>
      <c r="Y76">
        <v>73</v>
      </c>
      <c r="Z76">
        <v>66.22</v>
      </c>
      <c r="AA76" t="s">
        <v>318</v>
      </c>
      <c r="AB76" s="26">
        <v>3.5499999999999997E-2</v>
      </c>
      <c r="AE76" t="s">
        <v>296</v>
      </c>
      <c r="AF76" s="33">
        <v>76905.509999999995</v>
      </c>
      <c r="AG76" s="60">
        <v>73830.03</v>
      </c>
      <c r="AH76" s="60">
        <v>77041.94</v>
      </c>
      <c r="AI76" s="60">
        <v>73796.06</v>
      </c>
      <c r="AJ76" t="s">
        <v>442</v>
      </c>
      <c r="AK76" s="26">
        <v>4.1700000000000001E-2</v>
      </c>
      <c r="AM76" t="s">
        <v>294</v>
      </c>
      <c r="AN76">
        <v>13.33</v>
      </c>
      <c r="AO76">
        <v>14.97</v>
      </c>
      <c r="AP76">
        <v>14.97</v>
      </c>
      <c r="AQ76">
        <v>12.25</v>
      </c>
      <c r="AR76" t="s">
        <v>550</v>
      </c>
      <c r="AS76" s="26">
        <v>-7.2999999999999995E-2</v>
      </c>
      <c r="AU76" t="s">
        <v>294</v>
      </c>
      <c r="AV76" s="33">
        <v>25.3</v>
      </c>
      <c r="AW76">
        <v>26.01</v>
      </c>
      <c r="AX76">
        <v>26.01</v>
      </c>
      <c r="AY76">
        <v>25.25</v>
      </c>
      <c r="AZ76" t="s">
        <v>654</v>
      </c>
      <c r="BA76" s="26">
        <v>-7.7999999999999996E-3</v>
      </c>
      <c r="BC76" s="79" t="s">
        <v>294</v>
      </c>
      <c r="BD76" s="84">
        <v>10.71</v>
      </c>
      <c r="BE76">
        <v>12.85</v>
      </c>
      <c r="BF76">
        <v>12.99</v>
      </c>
      <c r="BG76">
        <v>10.56</v>
      </c>
      <c r="BH76" t="s">
        <v>760</v>
      </c>
      <c r="BI76" s="26">
        <v>-0.16650000000000001</v>
      </c>
    </row>
    <row r="77" spans="2:61">
      <c r="B77" s="47" t="s">
        <v>97</v>
      </c>
      <c r="C77" s="33">
        <v>46.2</v>
      </c>
      <c r="D77">
        <v>4620</v>
      </c>
      <c r="E77" t="s">
        <v>69</v>
      </c>
      <c r="F77">
        <v>4620</v>
      </c>
      <c r="G77" t="s">
        <v>97</v>
      </c>
      <c r="H77" s="33">
        <v>8236577</v>
      </c>
      <c r="I77" s="33">
        <v>45700</v>
      </c>
      <c r="J77" s="33">
        <v>8236577</v>
      </c>
      <c r="M77" s="47">
        <v>45530</v>
      </c>
      <c r="N77" s="33">
        <v>46.2</v>
      </c>
      <c r="O77">
        <v>46.2</v>
      </c>
      <c r="P77">
        <v>46.2</v>
      </c>
      <c r="Q77">
        <v>46.2</v>
      </c>
      <c r="R77">
        <v>46.2</v>
      </c>
      <c r="V77" s="58">
        <v>45303</v>
      </c>
      <c r="W77">
        <v>67.349999999999994</v>
      </c>
      <c r="X77">
        <v>64</v>
      </c>
      <c r="Y77">
        <v>69.989999999999995</v>
      </c>
      <c r="Z77">
        <v>62.27</v>
      </c>
      <c r="AA77" t="s">
        <v>319</v>
      </c>
      <c r="AB77" s="26">
        <v>3.6200000000000003E-2</v>
      </c>
      <c r="AE77" s="58">
        <v>45903</v>
      </c>
      <c r="AF77" s="33">
        <v>73828.91</v>
      </c>
      <c r="AG77" s="60">
        <v>74474.98</v>
      </c>
      <c r="AH77" s="60">
        <v>74741.25</v>
      </c>
      <c r="AI77" s="60">
        <v>73598.16</v>
      </c>
      <c r="AJ77" t="s">
        <v>443</v>
      </c>
      <c r="AK77" s="26">
        <v>-6.7999999999999996E-3</v>
      </c>
      <c r="AM77" t="s">
        <v>296</v>
      </c>
      <c r="AN77">
        <v>14.38</v>
      </c>
      <c r="AO77">
        <v>12.5</v>
      </c>
      <c r="AP77">
        <v>16.350000000000001</v>
      </c>
      <c r="AQ77">
        <v>12.2</v>
      </c>
      <c r="AR77" t="s">
        <v>551</v>
      </c>
      <c r="AS77" s="26">
        <v>0.15970000000000001</v>
      </c>
      <c r="AU77" t="s">
        <v>296</v>
      </c>
      <c r="AV77" s="33">
        <v>25.5</v>
      </c>
      <c r="AW77">
        <v>25.3</v>
      </c>
      <c r="AX77">
        <v>25.5</v>
      </c>
      <c r="AY77">
        <v>25.3</v>
      </c>
      <c r="AZ77" t="s">
        <v>655</v>
      </c>
      <c r="BA77" s="26">
        <v>0</v>
      </c>
      <c r="BC77" s="79" t="s">
        <v>296</v>
      </c>
      <c r="BD77" s="84">
        <v>12.85</v>
      </c>
      <c r="BE77">
        <v>13.17</v>
      </c>
      <c r="BF77">
        <v>13.17</v>
      </c>
      <c r="BG77">
        <v>12.27</v>
      </c>
      <c r="BH77" t="s">
        <v>761</v>
      </c>
      <c r="BI77" s="26">
        <v>8.0000000000000004E-4</v>
      </c>
    </row>
    <row r="78" spans="2:61">
      <c r="B78" s="47" t="s">
        <v>98</v>
      </c>
      <c r="C78" s="33">
        <v>46.2</v>
      </c>
      <c r="D78">
        <v>46.2</v>
      </c>
      <c r="E78" t="s">
        <v>69</v>
      </c>
      <c r="F78">
        <v>46.2</v>
      </c>
      <c r="G78" t="s">
        <v>98</v>
      </c>
      <c r="H78" s="33">
        <v>8108621</v>
      </c>
      <c r="I78" s="33">
        <v>38900</v>
      </c>
      <c r="J78" s="33">
        <v>8108621</v>
      </c>
      <c r="M78" s="47">
        <v>45523</v>
      </c>
      <c r="N78" s="33">
        <v>46.2</v>
      </c>
      <c r="O78">
        <v>46.2</v>
      </c>
      <c r="P78">
        <v>46.2</v>
      </c>
      <c r="Q78">
        <v>46.2</v>
      </c>
      <c r="R78">
        <v>46.2</v>
      </c>
      <c r="V78" s="58" t="s">
        <v>320</v>
      </c>
      <c r="W78">
        <v>65</v>
      </c>
      <c r="X78">
        <v>65.900000000000006</v>
      </c>
      <c r="Y78">
        <v>71</v>
      </c>
      <c r="Z78">
        <v>57.35</v>
      </c>
      <c r="AA78" t="s">
        <v>321</v>
      </c>
      <c r="AB78" s="26">
        <v>7.3300000000000004E-2</v>
      </c>
      <c r="AE78" s="58">
        <v>45691</v>
      </c>
      <c r="AF78" s="33">
        <v>74332.58</v>
      </c>
      <c r="AG78" s="60">
        <v>73427.649999999994</v>
      </c>
      <c r="AH78" s="60">
        <v>74586.429999999993</v>
      </c>
      <c r="AI78" s="60">
        <v>72633.539999999994</v>
      </c>
      <c r="AJ78" t="s">
        <v>444</v>
      </c>
      <c r="AK78" s="26">
        <v>1.55E-2</v>
      </c>
      <c r="AM78" s="58">
        <v>45903</v>
      </c>
      <c r="AN78">
        <v>12.4</v>
      </c>
      <c r="AO78">
        <v>13.35</v>
      </c>
      <c r="AP78">
        <v>13.67</v>
      </c>
      <c r="AQ78">
        <v>12.11</v>
      </c>
      <c r="AR78" t="s">
        <v>552</v>
      </c>
      <c r="AS78" s="26">
        <v>-7.1199999999999999E-2</v>
      </c>
      <c r="AU78" s="58">
        <v>45903</v>
      </c>
      <c r="AV78" s="33">
        <v>25.5</v>
      </c>
      <c r="AW78">
        <v>25.3</v>
      </c>
      <c r="AX78">
        <v>25.5</v>
      </c>
      <c r="AY78">
        <v>25.3</v>
      </c>
      <c r="AZ78" t="s">
        <v>656</v>
      </c>
      <c r="BA78" s="26">
        <v>6.7000000000000002E-3</v>
      </c>
      <c r="BC78" s="85">
        <v>45903</v>
      </c>
      <c r="BD78" s="84">
        <v>12.84</v>
      </c>
      <c r="BE78">
        <v>13.95</v>
      </c>
      <c r="BF78">
        <v>14</v>
      </c>
      <c r="BG78">
        <v>12.5</v>
      </c>
      <c r="BH78" t="s">
        <v>762</v>
      </c>
      <c r="BI78" s="26">
        <v>-7.8899999999999998E-2</v>
      </c>
    </row>
    <row r="79" spans="2:61">
      <c r="B79" s="47" t="s">
        <v>99</v>
      </c>
      <c r="C79" s="33">
        <v>46.2</v>
      </c>
      <c r="D79">
        <v>46.2</v>
      </c>
      <c r="E79" t="s">
        <v>69</v>
      </c>
      <c r="F79">
        <v>46.2</v>
      </c>
      <c r="G79" t="s">
        <v>99</v>
      </c>
      <c r="H79" s="33">
        <v>8043684</v>
      </c>
      <c r="I79" s="33">
        <v>41700</v>
      </c>
      <c r="J79" s="33">
        <v>8043684</v>
      </c>
      <c r="M79" s="47">
        <v>45516</v>
      </c>
      <c r="N79" s="33">
        <v>46.2</v>
      </c>
      <c r="O79">
        <v>46.2</v>
      </c>
      <c r="P79">
        <v>46.2</v>
      </c>
      <c r="Q79">
        <v>46.2</v>
      </c>
      <c r="R79">
        <v>46.2</v>
      </c>
      <c r="V79" s="58" t="s">
        <v>322</v>
      </c>
      <c r="W79">
        <v>60.56</v>
      </c>
      <c r="X79">
        <v>60.1</v>
      </c>
      <c r="Y79">
        <v>65.86</v>
      </c>
      <c r="Z79">
        <v>55.15</v>
      </c>
      <c r="AA79" t="s">
        <v>323</v>
      </c>
      <c r="AB79" s="26">
        <v>7.7000000000000002E-3</v>
      </c>
      <c r="AE79" t="s">
        <v>300</v>
      </c>
      <c r="AF79" s="33">
        <v>73198.100000000006</v>
      </c>
      <c r="AG79" s="60">
        <v>74893.45</v>
      </c>
      <c r="AH79" s="60">
        <v>74907.039999999994</v>
      </c>
      <c r="AI79" s="60">
        <v>73141.27</v>
      </c>
      <c r="AJ79" t="s">
        <v>445</v>
      </c>
      <c r="AK79" s="26">
        <v>-2.81E-2</v>
      </c>
      <c r="AM79" s="58">
        <v>45691</v>
      </c>
      <c r="AN79">
        <v>13.35</v>
      </c>
      <c r="AO79">
        <v>12.8</v>
      </c>
      <c r="AP79">
        <v>13.47</v>
      </c>
      <c r="AQ79">
        <v>12</v>
      </c>
      <c r="AR79" t="s">
        <v>553</v>
      </c>
      <c r="AS79" s="26">
        <v>4.6199999999999998E-2</v>
      </c>
      <c r="AU79" s="58">
        <v>45691</v>
      </c>
      <c r="AV79" s="33">
        <v>25.33</v>
      </c>
      <c r="AW79">
        <v>25.45</v>
      </c>
      <c r="AX79">
        <v>25.45</v>
      </c>
      <c r="AY79">
        <v>25.25</v>
      </c>
      <c r="AZ79" t="s">
        <v>657</v>
      </c>
      <c r="BA79" s="26">
        <v>-4.7000000000000002E-3</v>
      </c>
      <c r="BC79" s="85">
        <v>45691</v>
      </c>
      <c r="BD79" s="84">
        <v>13.94</v>
      </c>
      <c r="BE79">
        <v>13.92</v>
      </c>
      <c r="BF79">
        <v>14.47</v>
      </c>
      <c r="BG79">
        <v>13.21</v>
      </c>
      <c r="BH79" t="s">
        <v>763</v>
      </c>
      <c r="BI79" s="26">
        <v>2.6499999999999999E-2</v>
      </c>
    </row>
    <row r="80" spans="2:61">
      <c r="B80" s="47" t="s">
        <v>100</v>
      </c>
      <c r="C80" s="33">
        <v>46.2</v>
      </c>
      <c r="D80">
        <v>46.2</v>
      </c>
      <c r="E80">
        <v>155</v>
      </c>
      <c r="F80">
        <v>46.2</v>
      </c>
      <c r="G80" t="s">
        <v>100</v>
      </c>
      <c r="H80">
        <v>7970591</v>
      </c>
      <c r="I80">
        <v>60300</v>
      </c>
      <c r="J80">
        <v>7970591</v>
      </c>
      <c r="M80" s="47">
        <v>45509</v>
      </c>
      <c r="N80" s="33">
        <v>46.2</v>
      </c>
      <c r="O80">
        <v>46.2</v>
      </c>
      <c r="P80">
        <v>46.2</v>
      </c>
      <c r="Q80">
        <v>46.2</v>
      </c>
      <c r="R80">
        <v>46.2</v>
      </c>
      <c r="S80">
        <v>155</v>
      </c>
      <c r="V80" s="58">
        <v>45576</v>
      </c>
      <c r="W80">
        <v>60.1</v>
      </c>
      <c r="X80">
        <v>68.7</v>
      </c>
      <c r="Y80">
        <v>70.45</v>
      </c>
      <c r="Z80">
        <v>59.15</v>
      </c>
      <c r="AA80" t="s">
        <v>324</v>
      </c>
      <c r="AB80" s="26">
        <v>-0.1076</v>
      </c>
      <c r="AE80" t="s">
        <v>302</v>
      </c>
      <c r="AF80" s="33">
        <v>75311.06</v>
      </c>
      <c r="AG80" s="60">
        <v>75641.41</v>
      </c>
      <c r="AH80" s="60">
        <v>76338.58</v>
      </c>
      <c r="AI80" s="60">
        <v>75112.41</v>
      </c>
      <c r="AJ80" t="s">
        <v>446</v>
      </c>
      <c r="AK80" s="26">
        <v>-8.3000000000000001E-3</v>
      </c>
      <c r="AM80" t="s">
        <v>300</v>
      </c>
      <c r="AN80">
        <v>12.76</v>
      </c>
      <c r="AO80">
        <v>13.05</v>
      </c>
      <c r="AP80">
        <v>13.29</v>
      </c>
      <c r="AQ80">
        <v>12.5</v>
      </c>
      <c r="AR80" t="s">
        <v>554</v>
      </c>
      <c r="AS80" s="26">
        <v>-4.2000000000000003E-2</v>
      </c>
      <c r="AU80" t="s">
        <v>300</v>
      </c>
      <c r="AV80" s="33">
        <v>25.45</v>
      </c>
      <c r="AW80">
        <v>25.92</v>
      </c>
      <c r="AX80">
        <v>25.92</v>
      </c>
      <c r="AY80">
        <v>25.3</v>
      </c>
      <c r="AZ80" t="s">
        <v>658</v>
      </c>
      <c r="BA80" s="26">
        <v>1.6000000000000001E-3</v>
      </c>
      <c r="BC80" s="79" t="s">
        <v>300</v>
      </c>
      <c r="BD80" s="84">
        <v>13.58</v>
      </c>
      <c r="BE80">
        <v>14.2</v>
      </c>
      <c r="BF80">
        <v>14.72</v>
      </c>
      <c r="BG80">
        <v>13.25</v>
      </c>
      <c r="BH80" t="s">
        <v>764</v>
      </c>
      <c r="BI80" s="26">
        <v>-4.6300000000000001E-2</v>
      </c>
    </row>
    <row r="81" spans="2:61">
      <c r="B81" s="47" t="s">
        <v>101</v>
      </c>
      <c r="C81" s="33">
        <v>44</v>
      </c>
      <c r="D81">
        <v>44</v>
      </c>
      <c r="E81">
        <v>152</v>
      </c>
      <c r="F81">
        <v>44</v>
      </c>
      <c r="G81" t="s">
        <v>101</v>
      </c>
      <c r="H81">
        <v>8098195</v>
      </c>
      <c r="I81">
        <v>71100</v>
      </c>
      <c r="J81">
        <v>8098195</v>
      </c>
      <c r="M81" s="47">
        <v>45502</v>
      </c>
      <c r="N81" s="33">
        <v>44</v>
      </c>
      <c r="O81">
        <v>44.15</v>
      </c>
      <c r="P81">
        <v>41.71</v>
      </c>
      <c r="Q81">
        <v>44</v>
      </c>
      <c r="R81">
        <v>44</v>
      </c>
      <c r="S81">
        <v>152</v>
      </c>
      <c r="V81" s="58">
        <v>45362</v>
      </c>
      <c r="W81">
        <v>67.349999999999994</v>
      </c>
      <c r="X81">
        <v>75.989999999999995</v>
      </c>
      <c r="Y81">
        <v>75.989999999999995</v>
      </c>
      <c r="Z81">
        <v>64.8</v>
      </c>
      <c r="AA81" t="s">
        <v>325</v>
      </c>
      <c r="AB81" s="26">
        <v>-9.3799999999999994E-2</v>
      </c>
      <c r="AE81" s="58">
        <v>45902</v>
      </c>
      <c r="AF81" s="33">
        <v>75939.210000000006</v>
      </c>
      <c r="AG81" s="60">
        <v>77789.3</v>
      </c>
      <c r="AH81" s="60">
        <v>77849.58</v>
      </c>
      <c r="AI81" s="60">
        <v>75388.39</v>
      </c>
      <c r="AJ81" t="s">
        <v>447</v>
      </c>
      <c r="AK81" s="26">
        <v>-2.47E-2</v>
      </c>
      <c r="AM81" t="s">
        <v>302</v>
      </c>
      <c r="AN81">
        <v>13.32</v>
      </c>
      <c r="AO81">
        <v>13.2</v>
      </c>
      <c r="AP81">
        <v>13.8</v>
      </c>
      <c r="AQ81">
        <v>12.75</v>
      </c>
      <c r="AR81" t="s">
        <v>555</v>
      </c>
      <c r="AS81" s="26">
        <v>3.0200000000000001E-2</v>
      </c>
      <c r="AU81" t="s">
        <v>302</v>
      </c>
      <c r="AV81" s="33">
        <v>25.41</v>
      </c>
      <c r="AW81">
        <v>25.45</v>
      </c>
      <c r="AX81">
        <v>25.82</v>
      </c>
      <c r="AY81">
        <v>25.3</v>
      </c>
      <c r="AZ81" t="s">
        <v>659</v>
      </c>
      <c r="BA81" s="26">
        <v>-3.5000000000000001E-3</v>
      </c>
      <c r="BC81" s="79" t="s">
        <v>302</v>
      </c>
      <c r="BD81" s="84">
        <v>14.24</v>
      </c>
      <c r="BE81">
        <v>15.13</v>
      </c>
      <c r="BF81">
        <v>15.13</v>
      </c>
      <c r="BG81">
        <v>13.3</v>
      </c>
      <c r="BH81" t="s">
        <v>765</v>
      </c>
      <c r="BI81" s="26">
        <v>-3.9800000000000002E-2</v>
      </c>
    </row>
    <row r="82" spans="2:61">
      <c r="B82" s="47" t="s">
        <v>102</v>
      </c>
      <c r="C82" s="33">
        <v>41</v>
      </c>
      <c r="D82">
        <v>41</v>
      </c>
      <c r="E82">
        <v>35</v>
      </c>
      <c r="F82">
        <v>41</v>
      </c>
      <c r="G82" t="s">
        <v>102</v>
      </c>
      <c r="H82">
        <v>8133272</v>
      </c>
      <c r="I82">
        <v>62500</v>
      </c>
      <c r="J82">
        <v>8133272</v>
      </c>
      <c r="M82" s="47">
        <v>45495</v>
      </c>
      <c r="N82" s="33">
        <v>41</v>
      </c>
      <c r="O82">
        <v>41.89</v>
      </c>
      <c r="P82">
        <v>41</v>
      </c>
      <c r="Q82">
        <v>41</v>
      </c>
      <c r="R82">
        <v>41</v>
      </c>
      <c r="S82">
        <v>35</v>
      </c>
      <c r="V82" s="58" t="s">
        <v>326</v>
      </c>
      <c r="W82">
        <v>74.319999999999993</v>
      </c>
      <c r="X82">
        <v>65</v>
      </c>
      <c r="Y82">
        <v>77.7</v>
      </c>
      <c r="Z82">
        <v>63.2</v>
      </c>
      <c r="AA82" t="s">
        <v>327</v>
      </c>
      <c r="AB82" s="26">
        <v>0.13900000000000001</v>
      </c>
      <c r="AE82" s="58">
        <v>45690</v>
      </c>
      <c r="AF82" s="33">
        <v>77860.19</v>
      </c>
      <c r="AG82" s="60">
        <v>77637.009999999995</v>
      </c>
      <c r="AH82" s="60">
        <v>78735.41</v>
      </c>
      <c r="AI82" s="60">
        <v>76756.09</v>
      </c>
      <c r="AJ82" t="s">
        <v>448</v>
      </c>
      <c r="AK82" s="26">
        <v>2.1899999999999999E-2</v>
      </c>
      <c r="AM82" s="58">
        <v>45902</v>
      </c>
      <c r="AN82">
        <v>12.93</v>
      </c>
      <c r="AO82">
        <v>14.9</v>
      </c>
      <c r="AP82">
        <v>14.9</v>
      </c>
      <c r="AQ82">
        <v>12.15</v>
      </c>
      <c r="AR82" t="s">
        <v>556</v>
      </c>
      <c r="AS82" s="26">
        <v>-0.1328</v>
      </c>
      <c r="AU82" s="58">
        <v>45902</v>
      </c>
      <c r="AV82" s="33">
        <v>25.5</v>
      </c>
      <c r="AW82">
        <v>26</v>
      </c>
      <c r="AX82">
        <v>26.72</v>
      </c>
      <c r="AY82">
        <v>25.3</v>
      </c>
      <c r="AZ82" t="s">
        <v>660</v>
      </c>
      <c r="BA82" s="26">
        <v>5.8999999999999999E-3</v>
      </c>
      <c r="BC82" s="85">
        <v>45902</v>
      </c>
      <c r="BD82" s="84">
        <v>14.83</v>
      </c>
      <c r="BE82">
        <v>15.04</v>
      </c>
      <c r="BF82">
        <v>15.89</v>
      </c>
      <c r="BG82">
        <v>13.33</v>
      </c>
      <c r="BH82" t="s">
        <v>766</v>
      </c>
      <c r="BI82" s="26">
        <v>-1.4E-2</v>
      </c>
    </row>
    <row r="83" spans="2:61">
      <c r="B83" s="47" t="s">
        <v>103</v>
      </c>
      <c r="C83" s="33">
        <v>41.89</v>
      </c>
      <c r="D83">
        <v>41.89</v>
      </c>
      <c r="E83" t="s">
        <v>69</v>
      </c>
      <c r="F83">
        <v>41.89</v>
      </c>
      <c r="G83" t="s">
        <v>103</v>
      </c>
      <c r="H83">
        <v>8060465</v>
      </c>
      <c r="I83">
        <v>50300</v>
      </c>
      <c r="J83">
        <v>8060465</v>
      </c>
      <c r="M83" s="47">
        <v>45488</v>
      </c>
      <c r="N83" s="33">
        <v>41.89</v>
      </c>
      <c r="O83">
        <v>41.89</v>
      </c>
      <c r="P83">
        <v>41.89</v>
      </c>
      <c r="Q83">
        <v>41.89</v>
      </c>
      <c r="R83">
        <v>41.89</v>
      </c>
      <c r="V83" s="58" t="s">
        <v>328</v>
      </c>
      <c r="W83">
        <v>65.25</v>
      </c>
      <c r="X83">
        <v>75</v>
      </c>
      <c r="Y83">
        <v>75.37</v>
      </c>
      <c r="Z83">
        <v>62.5</v>
      </c>
      <c r="AA83" t="s">
        <v>329</v>
      </c>
      <c r="AB83" s="26">
        <v>-4.7699999999999999E-2</v>
      </c>
      <c r="AE83" t="s">
        <v>306</v>
      </c>
      <c r="AF83" s="33">
        <v>76190.460000000006</v>
      </c>
      <c r="AG83" s="60">
        <v>76978.53</v>
      </c>
      <c r="AH83" s="60">
        <v>77337.36</v>
      </c>
      <c r="AI83" s="60">
        <v>75641.87</v>
      </c>
      <c r="AJ83" t="s">
        <v>449</v>
      </c>
      <c r="AK83" s="26">
        <v>-5.5999999999999999E-3</v>
      </c>
      <c r="AM83" s="58">
        <v>45690</v>
      </c>
      <c r="AN83">
        <v>14.91</v>
      </c>
      <c r="AO83">
        <v>14.9</v>
      </c>
      <c r="AP83">
        <v>15.83</v>
      </c>
      <c r="AQ83">
        <v>13.41</v>
      </c>
      <c r="AR83" t="s">
        <v>557</v>
      </c>
      <c r="AS83" s="26">
        <v>1.3599999999999999E-2</v>
      </c>
      <c r="AU83" s="58">
        <v>45690</v>
      </c>
      <c r="AV83" s="33">
        <v>25.35</v>
      </c>
      <c r="AW83">
        <v>25.25</v>
      </c>
      <c r="AX83">
        <v>26</v>
      </c>
      <c r="AY83">
        <v>25.15</v>
      </c>
      <c r="AZ83" t="s">
        <v>661</v>
      </c>
      <c r="BA83" s="26">
        <v>6.0000000000000001E-3</v>
      </c>
      <c r="BC83" s="85">
        <v>45690</v>
      </c>
      <c r="BD83" s="84">
        <v>15.04</v>
      </c>
      <c r="BE83">
        <v>15.99</v>
      </c>
      <c r="BF83">
        <v>15.99</v>
      </c>
      <c r="BG83">
        <v>14.5</v>
      </c>
      <c r="BH83" t="s">
        <v>767</v>
      </c>
      <c r="BI83" s="26">
        <v>-1.3100000000000001E-2</v>
      </c>
    </row>
    <row r="84" spans="2:61">
      <c r="B84" s="47" t="s">
        <v>104</v>
      </c>
      <c r="C84" s="33">
        <v>41.89</v>
      </c>
      <c r="D84">
        <v>41.89</v>
      </c>
      <c r="E84" t="s">
        <v>69</v>
      </c>
      <c r="F84">
        <v>41.89</v>
      </c>
      <c r="G84" t="s">
        <v>104</v>
      </c>
      <c r="H84">
        <v>8051934</v>
      </c>
      <c r="I84">
        <v>56200</v>
      </c>
      <c r="J84">
        <v>8051934</v>
      </c>
      <c r="M84" s="47">
        <v>45481</v>
      </c>
      <c r="N84" s="33">
        <v>41.89</v>
      </c>
      <c r="O84">
        <v>41.89</v>
      </c>
      <c r="P84">
        <v>41.89</v>
      </c>
      <c r="Q84">
        <v>41.89</v>
      </c>
      <c r="R84">
        <v>41.89</v>
      </c>
      <c r="V84" s="58" t="s">
        <v>330</v>
      </c>
      <c r="W84">
        <v>68.52</v>
      </c>
      <c r="X84">
        <v>73</v>
      </c>
      <c r="Y84">
        <v>74.75</v>
      </c>
      <c r="Z84">
        <v>67</v>
      </c>
      <c r="AA84" t="s">
        <v>331</v>
      </c>
      <c r="AB84" s="26">
        <v>-7.2900000000000006E-2</v>
      </c>
      <c r="AE84" t="s">
        <v>308</v>
      </c>
      <c r="AF84" s="33">
        <v>76619.33</v>
      </c>
      <c r="AG84" s="60">
        <v>76629.899999999994</v>
      </c>
      <c r="AH84" s="60">
        <v>77319.5</v>
      </c>
      <c r="AI84" s="60">
        <v>76249.72</v>
      </c>
      <c r="AJ84" t="s">
        <v>450</v>
      </c>
      <c r="AK84" s="26">
        <v>-9.7999999999999997E-3</v>
      </c>
      <c r="AM84" t="s">
        <v>306</v>
      </c>
      <c r="AN84">
        <v>14.71</v>
      </c>
      <c r="AO84">
        <v>16.440000000000001</v>
      </c>
      <c r="AP84">
        <v>16.440000000000001</v>
      </c>
      <c r="AQ84">
        <v>14.2</v>
      </c>
      <c r="AR84" t="s">
        <v>558</v>
      </c>
      <c r="AS84" s="26">
        <v>-9.7500000000000003E-2</v>
      </c>
      <c r="AU84" t="s">
        <v>306</v>
      </c>
      <c r="AV84" s="33">
        <v>25.2</v>
      </c>
      <c r="AW84">
        <v>30.7</v>
      </c>
      <c r="AX84">
        <v>30.7</v>
      </c>
      <c r="AY84">
        <v>25.2</v>
      </c>
      <c r="AZ84" t="s">
        <v>662</v>
      </c>
      <c r="BA84" s="26">
        <v>-0.1628</v>
      </c>
      <c r="BC84" s="79" t="s">
        <v>306</v>
      </c>
      <c r="BD84" s="84">
        <v>15.24</v>
      </c>
      <c r="BE84">
        <v>14.25</v>
      </c>
      <c r="BF84">
        <v>15.5</v>
      </c>
      <c r="BG84">
        <v>13.11</v>
      </c>
      <c r="BH84" t="s">
        <v>768</v>
      </c>
      <c r="BI84" s="26">
        <v>6.8699999999999997E-2</v>
      </c>
    </row>
    <row r="85" spans="2:61">
      <c r="B85" s="47" t="s">
        <v>105</v>
      </c>
      <c r="C85" s="33">
        <v>41.89</v>
      </c>
      <c r="D85">
        <v>41.89</v>
      </c>
      <c r="E85">
        <v>406</v>
      </c>
      <c r="F85">
        <v>41.89</v>
      </c>
      <c r="G85" t="s">
        <v>105</v>
      </c>
      <c r="H85">
        <v>7999660</v>
      </c>
      <c r="I85">
        <v>25000</v>
      </c>
      <c r="J85">
        <v>7999660</v>
      </c>
      <c r="M85" s="47">
        <v>45474</v>
      </c>
      <c r="N85" s="33">
        <v>41.89</v>
      </c>
      <c r="O85">
        <v>41.89</v>
      </c>
      <c r="P85">
        <v>41.89</v>
      </c>
      <c r="Q85">
        <v>41.89</v>
      </c>
      <c r="R85">
        <v>41.89</v>
      </c>
      <c r="S85">
        <v>406</v>
      </c>
      <c r="V85" s="58">
        <v>45453</v>
      </c>
      <c r="W85">
        <v>73.91</v>
      </c>
      <c r="X85">
        <v>80.989999999999995</v>
      </c>
      <c r="Y85">
        <v>80.989999999999995</v>
      </c>
      <c r="Z85">
        <v>71.900000000000006</v>
      </c>
      <c r="AA85" t="s">
        <v>332</v>
      </c>
      <c r="AB85" s="26">
        <v>-5.6399999999999999E-2</v>
      </c>
      <c r="AE85" s="58">
        <v>45992</v>
      </c>
      <c r="AF85" s="33">
        <v>77378.91</v>
      </c>
      <c r="AG85" s="60">
        <v>79281.649999999994</v>
      </c>
      <c r="AH85" s="60">
        <v>79532.67</v>
      </c>
      <c r="AI85" s="60">
        <v>77099.55</v>
      </c>
      <c r="AJ85" t="s">
        <v>451</v>
      </c>
      <c r="AK85" s="26">
        <v>-2.3300000000000001E-2</v>
      </c>
      <c r="AM85" t="s">
        <v>308</v>
      </c>
      <c r="AN85">
        <v>16.3</v>
      </c>
      <c r="AO85">
        <v>18.239999999999998</v>
      </c>
      <c r="AP85">
        <v>18.75</v>
      </c>
      <c r="AQ85">
        <v>16.25</v>
      </c>
      <c r="AR85" t="s">
        <v>559</v>
      </c>
      <c r="AS85" s="26">
        <v>-0.10639999999999999</v>
      </c>
      <c r="AU85" t="s">
        <v>308</v>
      </c>
      <c r="AV85" s="33">
        <v>30.1</v>
      </c>
      <c r="AW85">
        <v>35.1</v>
      </c>
      <c r="AX85">
        <v>35.5</v>
      </c>
      <c r="AY85">
        <v>30.01</v>
      </c>
      <c r="AZ85" t="s">
        <v>663</v>
      </c>
      <c r="BA85" s="26">
        <v>-0.16600000000000001</v>
      </c>
      <c r="BC85" s="79" t="s">
        <v>308</v>
      </c>
      <c r="BD85" s="84">
        <v>14.26</v>
      </c>
      <c r="BE85">
        <v>14.4</v>
      </c>
      <c r="BF85">
        <v>14.96</v>
      </c>
      <c r="BG85">
        <v>13.76</v>
      </c>
      <c r="BH85" t="s">
        <v>769</v>
      </c>
      <c r="BI85" s="26">
        <v>-1.2500000000000001E-2</v>
      </c>
    </row>
    <row r="86" spans="2:61">
      <c r="B86" s="47" t="s">
        <v>106</v>
      </c>
      <c r="C86" s="33">
        <v>39.9</v>
      </c>
      <c r="D86">
        <v>39.9</v>
      </c>
      <c r="E86">
        <v>40</v>
      </c>
      <c r="F86">
        <v>39.9</v>
      </c>
      <c r="G86" t="s">
        <v>106</v>
      </c>
      <c r="H86">
        <v>7903273</v>
      </c>
      <c r="I86">
        <v>58100</v>
      </c>
      <c r="J86">
        <v>7903273</v>
      </c>
      <c r="M86" s="47">
        <v>45467</v>
      </c>
      <c r="N86" s="33">
        <v>39.9</v>
      </c>
      <c r="O86">
        <v>39.9</v>
      </c>
      <c r="P86">
        <v>39.9</v>
      </c>
      <c r="Q86">
        <v>39.9</v>
      </c>
      <c r="R86">
        <v>39.9</v>
      </c>
      <c r="S86">
        <v>40</v>
      </c>
      <c r="V86" s="58" t="s">
        <v>333</v>
      </c>
      <c r="W86">
        <v>78.33</v>
      </c>
      <c r="X86">
        <v>77.569999999999993</v>
      </c>
      <c r="Y86">
        <v>82</v>
      </c>
      <c r="Z86">
        <v>71.349999999999994</v>
      </c>
      <c r="AA86" t="s">
        <v>334</v>
      </c>
      <c r="AB86" s="26">
        <v>4.3400000000000001E-2</v>
      </c>
      <c r="AE86" s="58">
        <v>45778</v>
      </c>
      <c r="AF86" s="33">
        <v>79223.11</v>
      </c>
      <c r="AG86" s="60">
        <v>78637.58</v>
      </c>
      <c r="AH86" s="60">
        <v>80072.990000000005</v>
      </c>
      <c r="AI86" s="60">
        <v>77560.789999999994</v>
      </c>
      <c r="AJ86" t="s">
        <v>452</v>
      </c>
      <c r="AK86" s="26">
        <v>6.7000000000000002E-3</v>
      </c>
      <c r="AM86" s="58">
        <v>45992</v>
      </c>
      <c r="AN86">
        <v>18.239999999999998</v>
      </c>
      <c r="AO86">
        <v>17.8</v>
      </c>
      <c r="AP86">
        <v>19.09</v>
      </c>
      <c r="AQ86">
        <v>17.010000000000002</v>
      </c>
      <c r="AR86" t="s">
        <v>560</v>
      </c>
      <c r="AS86" s="26">
        <v>2.53E-2</v>
      </c>
      <c r="AU86" s="58">
        <v>45992</v>
      </c>
      <c r="AV86" s="33">
        <v>36.090000000000003</v>
      </c>
      <c r="AW86">
        <v>42.27</v>
      </c>
      <c r="AX86">
        <v>42.27</v>
      </c>
      <c r="AY86">
        <v>36</v>
      </c>
      <c r="AZ86" t="s">
        <v>664</v>
      </c>
      <c r="BA86" s="26">
        <v>-0.12909999999999999</v>
      </c>
      <c r="BC86" s="85">
        <v>45992</v>
      </c>
      <c r="BD86" s="84">
        <v>14.44</v>
      </c>
      <c r="BE86">
        <v>14.5</v>
      </c>
      <c r="BF86">
        <v>14.92</v>
      </c>
      <c r="BG86">
        <v>13.01</v>
      </c>
      <c r="BH86" t="s">
        <v>770</v>
      </c>
      <c r="BI86" s="26">
        <v>2.7799999999999998E-2</v>
      </c>
    </row>
    <row r="87" spans="2:61">
      <c r="B87" s="47" t="s">
        <v>107</v>
      </c>
      <c r="C87" s="33">
        <v>39.9</v>
      </c>
      <c r="D87">
        <v>39.9</v>
      </c>
      <c r="E87" t="s">
        <v>69</v>
      </c>
      <c r="F87">
        <v>39.9</v>
      </c>
      <c r="G87" t="s">
        <v>107</v>
      </c>
      <c r="H87">
        <v>7720990</v>
      </c>
      <c r="I87">
        <v>50400</v>
      </c>
      <c r="J87">
        <v>7720990</v>
      </c>
      <c r="M87" s="47">
        <v>45460</v>
      </c>
      <c r="N87" s="33">
        <v>39.9</v>
      </c>
      <c r="O87">
        <v>39.9</v>
      </c>
      <c r="P87">
        <v>39.9</v>
      </c>
      <c r="Q87">
        <v>39.9</v>
      </c>
      <c r="R87">
        <v>39.9</v>
      </c>
      <c r="V87" s="58" t="s">
        <v>335</v>
      </c>
      <c r="W87">
        <v>75.069999999999993</v>
      </c>
      <c r="X87">
        <v>79</v>
      </c>
      <c r="Y87">
        <v>79</v>
      </c>
      <c r="Z87">
        <v>72</v>
      </c>
      <c r="AA87" t="s">
        <v>336</v>
      </c>
      <c r="AB87" s="26">
        <v>-2.2800000000000001E-2</v>
      </c>
      <c r="AE87" t="s">
        <v>312</v>
      </c>
      <c r="AF87" s="33">
        <v>78699.070000000007</v>
      </c>
      <c r="AG87" s="60">
        <v>78488.639999999999</v>
      </c>
      <c r="AH87" s="60">
        <v>79043.149999999994</v>
      </c>
      <c r="AI87" s="60">
        <v>78173.38</v>
      </c>
      <c r="AJ87" t="s">
        <v>453</v>
      </c>
      <c r="AK87" s="26">
        <v>8.3999999999999995E-3</v>
      </c>
      <c r="AM87" s="58">
        <v>45778</v>
      </c>
      <c r="AN87">
        <v>17.79</v>
      </c>
      <c r="AO87">
        <v>20.88</v>
      </c>
      <c r="AP87">
        <v>21.4</v>
      </c>
      <c r="AQ87">
        <v>17.64</v>
      </c>
      <c r="AR87" t="s">
        <v>561</v>
      </c>
      <c r="AS87" s="26">
        <v>-0.13639999999999999</v>
      </c>
      <c r="AU87" s="58">
        <v>45778</v>
      </c>
      <c r="AV87" s="33">
        <v>41.44</v>
      </c>
      <c r="AW87">
        <v>49.5</v>
      </c>
      <c r="AX87">
        <v>49.5</v>
      </c>
      <c r="AY87">
        <v>41</v>
      </c>
      <c r="AZ87" t="s">
        <v>665</v>
      </c>
      <c r="BA87" s="26">
        <v>-0.14560000000000001</v>
      </c>
      <c r="BC87" s="85">
        <v>45778</v>
      </c>
      <c r="BD87" s="84">
        <v>14.05</v>
      </c>
      <c r="BE87">
        <v>14.8</v>
      </c>
      <c r="BF87">
        <v>14.96</v>
      </c>
      <c r="BG87">
        <v>13.57</v>
      </c>
      <c r="BH87" t="s">
        <v>771</v>
      </c>
      <c r="BI87" s="26">
        <v>-4.5499999999999999E-2</v>
      </c>
    </row>
    <row r="88" spans="2:61">
      <c r="B88" s="47" t="s">
        <v>108</v>
      </c>
      <c r="C88" s="33">
        <v>39.9</v>
      </c>
      <c r="D88">
        <v>39.9</v>
      </c>
      <c r="E88">
        <v>335</v>
      </c>
      <c r="F88">
        <v>39.9</v>
      </c>
      <c r="G88" t="s">
        <v>108</v>
      </c>
      <c r="H88">
        <v>7699277</v>
      </c>
      <c r="I88">
        <v>53600</v>
      </c>
      <c r="J88">
        <v>7699277</v>
      </c>
      <c r="M88" s="47">
        <v>45453</v>
      </c>
      <c r="N88" s="33">
        <v>39.9</v>
      </c>
      <c r="O88">
        <v>39.9</v>
      </c>
      <c r="P88">
        <v>38</v>
      </c>
      <c r="Q88">
        <v>39.9</v>
      </c>
      <c r="R88">
        <v>39.9</v>
      </c>
      <c r="S88">
        <v>335</v>
      </c>
      <c r="V88" s="58" t="s">
        <v>337</v>
      </c>
      <c r="W88">
        <v>76.819999999999993</v>
      </c>
      <c r="X88">
        <v>77</v>
      </c>
      <c r="Y88">
        <v>81</v>
      </c>
      <c r="Z88">
        <v>73.66</v>
      </c>
      <c r="AA88" t="s">
        <v>338</v>
      </c>
      <c r="AB88" s="26">
        <v>3.9199999999999999E-2</v>
      </c>
      <c r="AE88" t="s">
        <v>314</v>
      </c>
      <c r="AF88" s="33">
        <v>78041.59</v>
      </c>
      <c r="AG88" s="60">
        <v>82000.31</v>
      </c>
      <c r="AH88" s="60">
        <v>82116.44</v>
      </c>
      <c r="AI88" s="60">
        <v>77874.59</v>
      </c>
      <c r="AJ88" t="s">
        <v>454</v>
      </c>
      <c r="AK88" s="26">
        <v>-4.9799999999999997E-2</v>
      </c>
      <c r="AM88" t="s">
        <v>312</v>
      </c>
      <c r="AN88">
        <v>20.6</v>
      </c>
      <c r="AO88">
        <v>19.5</v>
      </c>
      <c r="AP88">
        <v>21.99</v>
      </c>
      <c r="AQ88">
        <v>18.25</v>
      </c>
      <c r="AR88" t="s">
        <v>562</v>
      </c>
      <c r="AS88" s="26">
        <v>7.3499999999999996E-2</v>
      </c>
      <c r="AU88" t="s">
        <v>312</v>
      </c>
      <c r="AV88" s="33">
        <v>48.5</v>
      </c>
      <c r="AW88">
        <v>57.5</v>
      </c>
      <c r="AX88">
        <v>57.9</v>
      </c>
      <c r="AY88">
        <v>48.45</v>
      </c>
      <c r="AZ88" t="s">
        <v>666</v>
      </c>
      <c r="BA88" s="26">
        <v>-0.1565</v>
      </c>
      <c r="BC88" s="79" t="s">
        <v>312</v>
      </c>
      <c r="BD88" s="84">
        <v>14.72</v>
      </c>
      <c r="BE88">
        <v>15.05</v>
      </c>
      <c r="BF88">
        <v>15.81</v>
      </c>
      <c r="BG88">
        <v>14.48</v>
      </c>
      <c r="BH88" t="s">
        <v>772</v>
      </c>
      <c r="BI88" s="26">
        <v>-2.6499999999999999E-2</v>
      </c>
    </row>
    <row r="89" spans="2:61">
      <c r="B89" s="47" t="s">
        <v>109</v>
      </c>
      <c r="C89" s="33">
        <v>38</v>
      </c>
      <c r="D89">
        <v>38</v>
      </c>
      <c r="E89" t="s">
        <v>69</v>
      </c>
      <c r="F89">
        <v>38</v>
      </c>
      <c r="G89" t="s">
        <v>109</v>
      </c>
      <c r="H89">
        <v>7669336</v>
      </c>
      <c r="I89">
        <v>117900</v>
      </c>
      <c r="J89">
        <v>7669336</v>
      </c>
      <c r="M89" s="47">
        <v>45446</v>
      </c>
      <c r="N89" s="33">
        <v>38</v>
      </c>
      <c r="O89">
        <v>38</v>
      </c>
      <c r="P89">
        <v>38</v>
      </c>
      <c r="Q89">
        <v>38</v>
      </c>
      <c r="R89">
        <v>38</v>
      </c>
      <c r="V89" s="58">
        <v>45513</v>
      </c>
      <c r="W89">
        <v>73.92</v>
      </c>
      <c r="X89">
        <v>67.900000000000006</v>
      </c>
      <c r="Y89">
        <v>74.989999999999995</v>
      </c>
      <c r="Z89">
        <v>63.27</v>
      </c>
      <c r="AA89" t="s">
        <v>339</v>
      </c>
      <c r="AB89" s="26">
        <v>0.1101</v>
      </c>
      <c r="AE89" t="s">
        <v>316</v>
      </c>
      <c r="AF89" s="33">
        <v>82133.119999999995</v>
      </c>
      <c r="AG89" s="60">
        <v>81602.58</v>
      </c>
      <c r="AH89" s="60">
        <v>82213.919999999998</v>
      </c>
      <c r="AI89" s="60">
        <v>80082.820000000007</v>
      </c>
      <c r="AJ89" t="s">
        <v>455</v>
      </c>
      <c r="AK89" s="26">
        <v>5.1999999999999998E-3</v>
      </c>
      <c r="AM89" t="s">
        <v>314</v>
      </c>
      <c r="AN89">
        <v>19.190000000000001</v>
      </c>
      <c r="AO89">
        <v>20.8</v>
      </c>
      <c r="AP89">
        <v>21.28</v>
      </c>
      <c r="AQ89">
        <v>18.22</v>
      </c>
      <c r="AR89" t="s">
        <v>563</v>
      </c>
      <c r="AS89" s="26">
        <v>-7.7399999999999997E-2</v>
      </c>
      <c r="AU89" t="s">
        <v>314</v>
      </c>
      <c r="AV89" s="33">
        <v>57.5</v>
      </c>
      <c r="AW89">
        <v>67</v>
      </c>
      <c r="AX89">
        <v>67</v>
      </c>
      <c r="AY89">
        <v>57.5</v>
      </c>
      <c r="AZ89" t="s">
        <v>667</v>
      </c>
      <c r="BA89" s="26">
        <v>-0.14180000000000001</v>
      </c>
      <c r="BC89" s="79" t="s">
        <v>314</v>
      </c>
      <c r="BD89" s="84">
        <v>15.12</v>
      </c>
      <c r="BE89">
        <v>15.89</v>
      </c>
      <c r="BF89">
        <v>15.99</v>
      </c>
      <c r="BG89">
        <v>15</v>
      </c>
      <c r="BH89" t="s">
        <v>773</v>
      </c>
      <c r="BI89" s="26">
        <v>-2.9499999999999998E-2</v>
      </c>
    </row>
    <row r="90" spans="2:61">
      <c r="B90" s="47" t="s">
        <v>110</v>
      </c>
      <c r="C90" s="33">
        <v>38</v>
      </c>
      <c r="D90">
        <v>38</v>
      </c>
      <c r="E90" t="s">
        <v>69</v>
      </c>
      <c r="F90">
        <v>38</v>
      </c>
      <c r="G90" t="s">
        <v>110</v>
      </c>
      <c r="H90">
        <v>7396131</v>
      </c>
      <c r="I90">
        <v>56300</v>
      </c>
      <c r="J90">
        <v>7396131</v>
      </c>
      <c r="M90" s="47">
        <v>45439</v>
      </c>
      <c r="N90" s="33">
        <v>38</v>
      </c>
      <c r="O90">
        <v>38</v>
      </c>
      <c r="P90">
        <v>38</v>
      </c>
      <c r="Q90">
        <v>38</v>
      </c>
      <c r="R90">
        <v>38</v>
      </c>
      <c r="V90" s="58">
        <v>45300</v>
      </c>
      <c r="W90">
        <v>66.59</v>
      </c>
      <c r="X90">
        <v>77.3</v>
      </c>
      <c r="Y90">
        <v>80</v>
      </c>
      <c r="Z90">
        <v>65.099999999999994</v>
      </c>
      <c r="AA90" t="s">
        <v>340</v>
      </c>
      <c r="AB90" s="26">
        <v>-0.13420000000000001</v>
      </c>
      <c r="AE90" s="58">
        <v>45516</v>
      </c>
      <c r="AF90" s="33">
        <v>81709.119999999995</v>
      </c>
      <c r="AG90" s="60">
        <v>79743.87</v>
      </c>
      <c r="AH90" s="60">
        <v>82317.740000000005</v>
      </c>
      <c r="AI90" s="60">
        <v>79308.95</v>
      </c>
      <c r="AJ90" t="s">
        <v>456</v>
      </c>
      <c r="AK90" s="26">
        <v>2.3900000000000001E-2</v>
      </c>
      <c r="AM90" t="s">
        <v>316</v>
      </c>
      <c r="AN90">
        <v>20.8</v>
      </c>
      <c r="AO90">
        <v>20.58</v>
      </c>
      <c r="AP90">
        <v>23</v>
      </c>
      <c r="AQ90">
        <v>18.02</v>
      </c>
      <c r="AR90" t="s">
        <v>564</v>
      </c>
      <c r="AS90" s="26">
        <v>5.4300000000000001E-2</v>
      </c>
      <c r="AU90" t="s">
        <v>316</v>
      </c>
      <c r="AV90" s="33">
        <v>67</v>
      </c>
      <c r="AW90">
        <v>68</v>
      </c>
      <c r="AX90">
        <v>70.5</v>
      </c>
      <c r="AY90">
        <v>66.599999999999994</v>
      </c>
      <c r="AZ90" t="s">
        <v>668</v>
      </c>
      <c r="BA90" s="26">
        <v>-7.4000000000000003E-3</v>
      </c>
      <c r="BC90" s="79" t="s">
        <v>316</v>
      </c>
      <c r="BD90" s="84">
        <v>15.58</v>
      </c>
      <c r="BE90">
        <v>16.09</v>
      </c>
      <c r="BF90">
        <v>16.399999999999999</v>
      </c>
      <c r="BG90">
        <v>13.78</v>
      </c>
      <c r="BH90" t="s">
        <v>774</v>
      </c>
      <c r="BI90" s="26">
        <v>-2.4400000000000002E-2</v>
      </c>
    </row>
    <row r="91" spans="2:61">
      <c r="B91" s="47" t="s">
        <v>111</v>
      </c>
      <c r="C91" s="33">
        <v>38</v>
      </c>
      <c r="D91">
        <v>38</v>
      </c>
      <c r="E91">
        <v>1</v>
      </c>
      <c r="F91">
        <v>38</v>
      </c>
      <c r="G91" t="s">
        <v>111</v>
      </c>
      <c r="H91">
        <v>7541039</v>
      </c>
      <c r="I91">
        <v>39400</v>
      </c>
      <c r="J91">
        <v>7541039</v>
      </c>
      <c r="M91" s="47">
        <v>45432</v>
      </c>
      <c r="N91" s="33">
        <v>38</v>
      </c>
      <c r="O91">
        <v>39.29</v>
      </c>
      <c r="P91">
        <v>38</v>
      </c>
      <c r="Q91">
        <v>38</v>
      </c>
      <c r="R91">
        <v>38</v>
      </c>
      <c r="S91">
        <v>1</v>
      </c>
      <c r="V91" s="58" t="s">
        <v>341</v>
      </c>
      <c r="W91">
        <v>76.91</v>
      </c>
      <c r="X91">
        <v>81.760000000000005</v>
      </c>
      <c r="Y91">
        <v>89.93</v>
      </c>
      <c r="Z91">
        <v>75</v>
      </c>
      <c r="AA91" t="s">
        <v>342</v>
      </c>
      <c r="AB91" s="26">
        <v>-5.9299999999999999E-2</v>
      </c>
      <c r="AE91" s="58">
        <v>45303</v>
      </c>
      <c r="AF91" s="33">
        <v>79802.789999999994</v>
      </c>
      <c r="AG91" s="60">
        <v>80193.47</v>
      </c>
      <c r="AH91" s="60">
        <v>80511.149999999994</v>
      </c>
      <c r="AI91" s="60">
        <v>78918.92</v>
      </c>
      <c r="AJ91" t="s">
        <v>457</v>
      </c>
      <c r="AK91" s="26">
        <v>8.6999999999999994E-3</v>
      </c>
      <c r="AM91" s="58">
        <v>45516</v>
      </c>
      <c r="AN91">
        <v>19.73</v>
      </c>
      <c r="AO91">
        <v>17.32</v>
      </c>
      <c r="AP91">
        <v>21.22</v>
      </c>
      <c r="AQ91">
        <v>17.32</v>
      </c>
      <c r="AR91" t="s">
        <v>565</v>
      </c>
      <c r="AS91" s="26">
        <v>0.17269999999999999</v>
      </c>
      <c r="AU91" s="58">
        <v>45516</v>
      </c>
      <c r="AV91" s="33">
        <v>67.5</v>
      </c>
      <c r="AW91">
        <v>62.45</v>
      </c>
      <c r="AX91">
        <v>68.55</v>
      </c>
      <c r="AY91">
        <v>61.25</v>
      </c>
      <c r="AZ91" t="s">
        <v>669</v>
      </c>
      <c r="BA91" s="26">
        <v>8.09E-2</v>
      </c>
      <c r="BC91" s="85">
        <v>45516</v>
      </c>
      <c r="BD91" s="84">
        <v>15.97</v>
      </c>
      <c r="BE91">
        <v>16.02</v>
      </c>
      <c r="BF91">
        <v>16.45</v>
      </c>
      <c r="BG91">
        <v>15.25</v>
      </c>
      <c r="BH91" t="s">
        <v>775</v>
      </c>
      <c r="BI91" s="26">
        <v>6.3E-3</v>
      </c>
    </row>
    <row r="92" spans="2:61">
      <c r="B92" s="47" t="s">
        <v>112</v>
      </c>
      <c r="C92" s="33">
        <v>39.29</v>
      </c>
      <c r="D92">
        <v>39.29</v>
      </c>
      <c r="E92" t="s">
        <v>69</v>
      </c>
      <c r="F92">
        <v>39.29</v>
      </c>
      <c r="G92" t="s">
        <v>112</v>
      </c>
      <c r="H92">
        <v>7391703</v>
      </c>
      <c r="I92">
        <v>50300</v>
      </c>
      <c r="J92">
        <v>7391703</v>
      </c>
      <c r="M92" s="47">
        <v>45425</v>
      </c>
      <c r="N92" s="33">
        <v>39.29</v>
      </c>
      <c r="O92">
        <v>39.29</v>
      </c>
      <c r="P92">
        <v>39.29</v>
      </c>
      <c r="Q92">
        <v>39.29</v>
      </c>
      <c r="R92">
        <v>39.29</v>
      </c>
      <c r="V92" s="58" t="s">
        <v>343</v>
      </c>
      <c r="W92">
        <v>81.760000000000005</v>
      </c>
      <c r="X92">
        <v>56.24</v>
      </c>
      <c r="Y92">
        <v>81.760000000000005</v>
      </c>
      <c r="Z92">
        <v>54.12</v>
      </c>
      <c r="AA92" t="s">
        <v>344</v>
      </c>
      <c r="AB92" s="26">
        <v>0.45379999999999998</v>
      </c>
      <c r="AE92" t="s">
        <v>320</v>
      </c>
      <c r="AF92" s="33">
        <v>79117.11</v>
      </c>
      <c r="AG92" s="60">
        <v>77863.539999999994</v>
      </c>
      <c r="AH92" s="60">
        <v>79218.19</v>
      </c>
      <c r="AI92" s="60">
        <v>76802.73</v>
      </c>
      <c r="AJ92" t="s">
        <v>458</v>
      </c>
      <c r="AK92" s="26">
        <v>1.9800000000000002E-2</v>
      </c>
      <c r="AM92" s="58">
        <v>45303</v>
      </c>
      <c r="AN92">
        <v>16.82</v>
      </c>
      <c r="AO92">
        <v>16.420000000000002</v>
      </c>
      <c r="AP92">
        <v>17.28</v>
      </c>
      <c r="AQ92">
        <v>16.32</v>
      </c>
      <c r="AR92" t="s">
        <v>566</v>
      </c>
      <c r="AS92" s="26">
        <v>2.46E-2</v>
      </c>
      <c r="AU92" s="58">
        <v>45303</v>
      </c>
      <c r="AV92" s="33">
        <v>62.45</v>
      </c>
      <c r="AW92">
        <v>60.86</v>
      </c>
      <c r="AX92">
        <v>63.5</v>
      </c>
      <c r="AY92">
        <v>60.86</v>
      </c>
      <c r="AZ92" t="s">
        <v>670</v>
      </c>
      <c r="BA92" s="26">
        <v>5.5999999999999999E-3</v>
      </c>
      <c r="BC92" s="85">
        <v>45303</v>
      </c>
      <c r="BD92" s="84">
        <v>15.87</v>
      </c>
      <c r="BE92">
        <v>15.61</v>
      </c>
      <c r="BF92">
        <v>16.43</v>
      </c>
      <c r="BG92">
        <v>15.5</v>
      </c>
      <c r="BH92" t="s">
        <v>776</v>
      </c>
      <c r="BI92" s="26">
        <v>-5.0000000000000001E-3</v>
      </c>
    </row>
    <row r="93" spans="2:61">
      <c r="B93" s="47" t="s">
        <v>113</v>
      </c>
      <c r="C93" s="33">
        <v>39.29</v>
      </c>
      <c r="D93">
        <v>39.29</v>
      </c>
      <c r="E93" s="48">
        <v>500</v>
      </c>
      <c r="F93">
        <v>39.29</v>
      </c>
      <c r="G93" t="s">
        <v>113</v>
      </c>
      <c r="H93">
        <v>7266447</v>
      </c>
      <c r="I93">
        <v>45800</v>
      </c>
      <c r="J93">
        <v>7266447</v>
      </c>
      <c r="M93" s="47">
        <v>45418</v>
      </c>
      <c r="N93" s="33">
        <v>39.29</v>
      </c>
      <c r="O93">
        <v>39.29</v>
      </c>
      <c r="P93">
        <v>39.29</v>
      </c>
      <c r="Q93">
        <v>39.29</v>
      </c>
      <c r="R93">
        <v>39.29</v>
      </c>
      <c r="S93" s="48">
        <v>500</v>
      </c>
      <c r="V93" s="58">
        <v>45604</v>
      </c>
      <c r="W93">
        <v>56.24</v>
      </c>
      <c r="X93">
        <v>55.21</v>
      </c>
      <c r="Y93">
        <v>66</v>
      </c>
      <c r="Z93">
        <v>53.65</v>
      </c>
      <c r="AA93" t="s">
        <v>345</v>
      </c>
      <c r="AB93" s="26">
        <v>1.8700000000000001E-2</v>
      </c>
      <c r="AE93" t="s">
        <v>322</v>
      </c>
      <c r="AF93" s="33">
        <v>77580.31</v>
      </c>
      <c r="AG93" s="60">
        <v>79298.460000000006</v>
      </c>
      <c r="AH93" s="60">
        <v>80102.14</v>
      </c>
      <c r="AI93" s="60">
        <v>77424.81</v>
      </c>
      <c r="AJ93" t="s">
        <v>459</v>
      </c>
      <c r="AK93" s="26">
        <v>-2.4E-2</v>
      </c>
      <c r="AM93" t="s">
        <v>320</v>
      </c>
      <c r="AN93">
        <v>16.420000000000002</v>
      </c>
      <c r="AO93">
        <v>15.84</v>
      </c>
      <c r="AP93">
        <v>16.63</v>
      </c>
      <c r="AQ93">
        <v>14.75</v>
      </c>
      <c r="AR93" t="s">
        <v>567</v>
      </c>
      <c r="AS93" s="26">
        <v>5.7099999999999998E-2</v>
      </c>
      <c r="AU93" t="s">
        <v>320</v>
      </c>
      <c r="AV93" s="33">
        <v>62.1</v>
      </c>
      <c r="AW93">
        <v>63.5</v>
      </c>
      <c r="AX93">
        <v>63.5</v>
      </c>
      <c r="AY93">
        <v>62.1</v>
      </c>
      <c r="AZ93" t="s">
        <v>671</v>
      </c>
      <c r="BA93" s="26">
        <v>-4.7999999999999996E-3</v>
      </c>
      <c r="BC93" s="79" t="s">
        <v>320</v>
      </c>
      <c r="BD93" s="84">
        <v>15.95</v>
      </c>
      <c r="BE93">
        <v>15.13</v>
      </c>
      <c r="BF93">
        <v>16.579999999999998</v>
      </c>
      <c r="BG93">
        <v>15</v>
      </c>
      <c r="BH93" t="s">
        <v>777</v>
      </c>
      <c r="BI93" s="26">
        <v>5.4199999999999998E-2</v>
      </c>
    </row>
    <row r="94" spans="2:61">
      <c r="B94" s="47" t="s">
        <v>114</v>
      </c>
      <c r="C94" s="33">
        <v>41.35</v>
      </c>
      <c r="D94">
        <v>41.35</v>
      </c>
      <c r="E94">
        <v>200</v>
      </c>
      <c r="F94">
        <v>41.35</v>
      </c>
      <c r="G94" t="s">
        <v>114</v>
      </c>
      <c r="H94">
        <v>7387815</v>
      </c>
      <c r="I94">
        <v>52300</v>
      </c>
      <c r="J94">
        <v>7387815</v>
      </c>
      <c r="M94" s="47">
        <v>45411</v>
      </c>
      <c r="N94" s="33">
        <v>41.35</v>
      </c>
      <c r="O94">
        <v>41.35</v>
      </c>
      <c r="P94">
        <v>41.35</v>
      </c>
      <c r="Q94">
        <v>41.35</v>
      </c>
      <c r="R94">
        <v>41.35</v>
      </c>
      <c r="S94">
        <v>200</v>
      </c>
      <c r="V94" s="58">
        <v>45390</v>
      </c>
      <c r="W94">
        <v>55.21</v>
      </c>
      <c r="X94">
        <v>55.4</v>
      </c>
      <c r="Y94">
        <v>56.79</v>
      </c>
      <c r="Z94">
        <v>51.06</v>
      </c>
      <c r="AA94" t="s">
        <v>346</v>
      </c>
      <c r="AB94" s="26">
        <v>2.0299999999999999E-2</v>
      </c>
      <c r="AE94" s="58">
        <v>45576</v>
      </c>
      <c r="AF94" s="33">
        <v>79486.320000000007</v>
      </c>
      <c r="AG94" s="60">
        <v>79713.14</v>
      </c>
      <c r="AH94" s="60">
        <v>80569.73</v>
      </c>
      <c r="AI94" s="60">
        <v>78232.600000000006</v>
      </c>
      <c r="AJ94" t="s">
        <v>460</v>
      </c>
      <c r="AK94" s="26">
        <v>-3.0000000000000001E-3</v>
      </c>
      <c r="AM94" t="s">
        <v>322</v>
      </c>
      <c r="AN94">
        <v>15.53</v>
      </c>
      <c r="AO94">
        <v>15.39</v>
      </c>
      <c r="AP94">
        <v>16.11</v>
      </c>
      <c r="AQ94">
        <v>14.67</v>
      </c>
      <c r="AR94" t="s">
        <v>568</v>
      </c>
      <c r="AS94" s="26">
        <v>9.1000000000000004E-3</v>
      </c>
      <c r="AU94" t="s">
        <v>322</v>
      </c>
      <c r="AV94" s="33">
        <v>62.4</v>
      </c>
      <c r="AW94">
        <v>62.5</v>
      </c>
      <c r="AX94">
        <v>64.5</v>
      </c>
      <c r="AY94">
        <v>62.4</v>
      </c>
      <c r="AZ94" t="s">
        <v>672</v>
      </c>
      <c r="BA94" s="26">
        <v>-1.6000000000000001E-3</v>
      </c>
      <c r="BC94" s="79" t="s">
        <v>322</v>
      </c>
      <c r="BD94" s="84">
        <v>15.13</v>
      </c>
      <c r="BE94">
        <v>13.51</v>
      </c>
      <c r="BF94">
        <v>15.74</v>
      </c>
      <c r="BG94">
        <v>13.51</v>
      </c>
      <c r="BH94" t="s">
        <v>778</v>
      </c>
      <c r="BI94" s="26">
        <v>3.6299999999999999E-2</v>
      </c>
    </row>
    <row r="95" spans="2:61">
      <c r="B95" s="47" t="s">
        <v>115</v>
      </c>
      <c r="C95" s="33">
        <v>41.35</v>
      </c>
      <c r="D95">
        <v>41.35</v>
      </c>
      <c r="E95" s="48">
        <v>1062</v>
      </c>
      <c r="F95">
        <v>41.35</v>
      </c>
      <c r="G95" t="s">
        <v>115</v>
      </c>
      <c r="H95">
        <v>7373016</v>
      </c>
      <c r="I95">
        <v>49600</v>
      </c>
      <c r="J95">
        <v>7373016</v>
      </c>
      <c r="M95" s="47">
        <v>45404</v>
      </c>
      <c r="N95" s="33">
        <v>41.35</v>
      </c>
      <c r="O95">
        <v>41.35</v>
      </c>
      <c r="P95">
        <v>41.35</v>
      </c>
      <c r="Q95">
        <v>41.35</v>
      </c>
      <c r="R95">
        <v>41.35</v>
      </c>
      <c r="S95" s="48">
        <v>1062</v>
      </c>
      <c r="V95" s="58" t="s">
        <v>347</v>
      </c>
      <c r="W95">
        <v>54.11</v>
      </c>
      <c r="X95">
        <v>55.87</v>
      </c>
      <c r="Y95">
        <v>57.9</v>
      </c>
      <c r="Z95">
        <v>53</v>
      </c>
      <c r="AA95" t="s">
        <v>348</v>
      </c>
      <c r="AB95" s="26">
        <v>-3.15E-2</v>
      </c>
      <c r="AE95" s="58">
        <v>45362</v>
      </c>
      <c r="AF95" s="33">
        <v>79724.12</v>
      </c>
      <c r="AG95" s="60">
        <v>79653.67</v>
      </c>
      <c r="AH95" s="60">
        <v>80539.81</v>
      </c>
      <c r="AI95" s="60">
        <v>79287.929999999993</v>
      </c>
      <c r="AJ95" t="s">
        <v>461</v>
      </c>
      <c r="AK95" s="26">
        <v>4.1000000000000003E-3</v>
      </c>
      <c r="AM95" s="58">
        <v>45576</v>
      </c>
      <c r="AN95">
        <v>15.39</v>
      </c>
      <c r="AO95">
        <v>16.18</v>
      </c>
      <c r="AP95">
        <v>16.18</v>
      </c>
      <c r="AQ95">
        <v>14.55</v>
      </c>
      <c r="AR95" t="s">
        <v>569</v>
      </c>
      <c r="AS95" s="26">
        <v>-3.09E-2</v>
      </c>
      <c r="AU95" s="58">
        <v>45576</v>
      </c>
      <c r="AV95" s="33">
        <v>62.5</v>
      </c>
      <c r="AW95">
        <v>62.75</v>
      </c>
      <c r="AX95">
        <v>62.75</v>
      </c>
      <c r="AY95">
        <v>62.5</v>
      </c>
      <c r="AZ95" t="s">
        <v>673</v>
      </c>
      <c r="BA95" s="26">
        <v>-4.7999999999999996E-3</v>
      </c>
      <c r="BC95" s="85">
        <v>45576</v>
      </c>
      <c r="BD95" s="84">
        <v>14.6</v>
      </c>
      <c r="BE95">
        <v>16.489999999999998</v>
      </c>
      <c r="BF95">
        <v>16.489999999999998</v>
      </c>
      <c r="BG95">
        <v>13.45</v>
      </c>
      <c r="BH95" t="s">
        <v>779</v>
      </c>
      <c r="BI95" s="26">
        <v>-0.107</v>
      </c>
    </row>
    <row r="96" spans="2:61">
      <c r="B96" s="47" t="s">
        <v>116</v>
      </c>
      <c r="C96" s="33">
        <v>41.39</v>
      </c>
      <c r="D96">
        <v>41.39</v>
      </c>
      <c r="E96" t="s">
        <v>69</v>
      </c>
      <c r="F96">
        <v>41.39</v>
      </c>
      <c r="G96" t="s">
        <v>116</v>
      </c>
      <c r="H96">
        <v>7308833</v>
      </c>
      <c r="I96">
        <v>50600</v>
      </c>
      <c r="J96">
        <v>7308833</v>
      </c>
      <c r="M96" s="47">
        <v>45397</v>
      </c>
      <c r="N96" s="33">
        <v>41.39</v>
      </c>
      <c r="O96">
        <v>41.39</v>
      </c>
      <c r="P96">
        <v>41.39</v>
      </c>
      <c r="Q96">
        <v>41.39</v>
      </c>
      <c r="R96">
        <v>41.39</v>
      </c>
      <c r="V96" s="58" t="s">
        <v>349</v>
      </c>
      <c r="W96">
        <v>55.87</v>
      </c>
      <c r="X96">
        <v>55.5</v>
      </c>
      <c r="Y96">
        <v>58.78</v>
      </c>
      <c r="Z96">
        <v>51.06</v>
      </c>
      <c r="AA96" t="s">
        <v>350</v>
      </c>
      <c r="AB96" s="26">
        <v>6.7000000000000002E-3</v>
      </c>
      <c r="AE96" t="s">
        <v>326</v>
      </c>
      <c r="AF96" s="33">
        <v>79402.289999999994</v>
      </c>
      <c r="AG96" s="60">
        <v>81770.02</v>
      </c>
      <c r="AH96" s="60">
        <v>81770.02</v>
      </c>
      <c r="AI96" s="60">
        <v>79137.98</v>
      </c>
      <c r="AJ96" t="s">
        <v>462</v>
      </c>
      <c r="AK96" s="26">
        <v>-2.24E-2</v>
      </c>
      <c r="AM96" s="58">
        <v>45362</v>
      </c>
      <c r="AN96">
        <v>15.89</v>
      </c>
      <c r="AO96">
        <v>16.93</v>
      </c>
      <c r="AP96">
        <v>16.93</v>
      </c>
      <c r="AQ96">
        <v>15.71</v>
      </c>
      <c r="AR96" t="s">
        <v>570</v>
      </c>
      <c r="AS96" s="26">
        <v>-4.6899999999999997E-2</v>
      </c>
      <c r="AU96" s="58">
        <v>45362</v>
      </c>
      <c r="AV96" s="33">
        <v>62.8</v>
      </c>
      <c r="AW96">
        <v>64.05</v>
      </c>
      <c r="AX96">
        <v>64.05</v>
      </c>
      <c r="AY96">
        <v>62.8</v>
      </c>
      <c r="AZ96" t="s">
        <v>674</v>
      </c>
      <c r="BA96" s="26">
        <v>-4.8999999999999998E-3</v>
      </c>
      <c r="BC96" s="85">
        <v>45362</v>
      </c>
      <c r="BD96" s="84">
        <v>16.350000000000001</v>
      </c>
      <c r="BE96">
        <v>16.649999999999999</v>
      </c>
      <c r="BF96">
        <v>16.649999999999999</v>
      </c>
      <c r="BG96">
        <v>15.51</v>
      </c>
      <c r="BH96" t="s">
        <v>780</v>
      </c>
      <c r="BI96" s="26">
        <v>-1.6799999999999999E-2</v>
      </c>
    </row>
    <row r="97" spans="2:61">
      <c r="B97" s="47" t="s">
        <v>117</v>
      </c>
      <c r="C97" s="33">
        <v>41.39</v>
      </c>
      <c r="D97">
        <v>41.39</v>
      </c>
      <c r="E97" t="s">
        <v>69</v>
      </c>
      <c r="F97">
        <v>41.39</v>
      </c>
      <c r="G97" t="s">
        <v>117</v>
      </c>
      <c r="H97">
        <v>7424490</v>
      </c>
      <c r="I97">
        <v>72000</v>
      </c>
      <c r="J97">
        <v>7424490</v>
      </c>
      <c r="M97" s="47">
        <v>45390</v>
      </c>
      <c r="N97" s="33">
        <v>41.39</v>
      </c>
      <c r="O97">
        <v>41.39</v>
      </c>
      <c r="P97">
        <v>41.39</v>
      </c>
      <c r="Q97">
        <v>41.39</v>
      </c>
      <c r="R97">
        <v>41.39</v>
      </c>
      <c r="V97" s="58" t="s">
        <v>351</v>
      </c>
      <c r="W97">
        <v>55.5</v>
      </c>
      <c r="X97">
        <v>58.75</v>
      </c>
      <c r="Y97">
        <v>58.75</v>
      </c>
      <c r="Z97">
        <v>52</v>
      </c>
      <c r="AA97" t="s">
        <v>352</v>
      </c>
      <c r="AB97" s="26">
        <v>-2.92E-2</v>
      </c>
      <c r="AE97" t="s">
        <v>328</v>
      </c>
      <c r="AF97" s="33">
        <v>81224.75</v>
      </c>
      <c r="AG97" s="60">
        <v>81576.929999999993</v>
      </c>
      <c r="AH97" s="60">
        <v>82300.44</v>
      </c>
      <c r="AI97" s="60">
        <v>80409.25</v>
      </c>
      <c r="AJ97" t="s">
        <v>463</v>
      </c>
      <c r="AK97" s="26">
        <v>-1.9E-3</v>
      </c>
      <c r="AM97" t="s">
        <v>326</v>
      </c>
      <c r="AN97">
        <v>16.670000000000002</v>
      </c>
      <c r="AO97">
        <v>15.37</v>
      </c>
      <c r="AP97">
        <v>16.91</v>
      </c>
      <c r="AQ97">
        <v>15.04</v>
      </c>
      <c r="AR97" t="s">
        <v>571</v>
      </c>
      <c r="AS97" s="26">
        <v>5.3199999999999997E-2</v>
      </c>
      <c r="AU97" t="s">
        <v>326</v>
      </c>
      <c r="AV97" s="33">
        <v>63.11</v>
      </c>
      <c r="AW97">
        <v>63.05</v>
      </c>
      <c r="AX97">
        <v>64.05</v>
      </c>
      <c r="AY97">
        <v>61.69</v>
      </c>
      <c r="AZ97" t="s">
        <v>675</v>
      </c>
      <c r="BA97" s="26">
        <v>1E-3</v>
      </c>
      <c r="BC97" s="79" t="s">
        <v>326</v>
      </c>
      <c r="BD97" s="84">
        <v>16.63</v>
      </c>
      <c r="BE97">
        <v>15.75</v>
      </c>
      <c r="BF97">
        <v>16.89</v>
      </c>
      <c r="BG97">
        <v>15.4</v>
      </c>
      <c r="BH97" t="s">
        <v>781</v>
      </c>
      <c r="BI97" s="26">
        <v>4.2599999999999999E-2</v>
      </c>
    </row>
    <row r="98" spans="2:61">
      <c r="B98" s="47" t="s">
        <v>118</v>
      </c>
      <c r="C98" s="33">
        <v>41.39</v>
      </c>
      <c r="D98">
        <v>41.39</v>
      </c>
      <c r="E98" s="48" t="s">
        <v>69</v>
      </c>
      <c r="F98">
        <v>41.39</v>
      </c>
      <c r="G98" t="s">
        <v>118</v>
      </c>
      <c r="H98">
        <v>7424822</v>
      </c>
      <c r="I98">
        <v>36200</v>
      </c>
      <c r="J98">
        <v>7424822</v>
      </c>
      <c r="M98" s="47">
        <v>45383</v>
      </c>
      <c r="N98" s="33">
        <v>41.39</v>
      </c>
      <c r="O98">
        <v>41.39</v>
      </c>
      <c r="P98">
        <v>41.39</v>
      </c>
      <c r="Q98">
        <v>41.39</v>
      </c>
      <c r="R98">
        <v>41.39</v>
      </c>
      <c r="S98" s="48"/>
      <c r="V98" s="58">
        <v>45480</v>
      </c>
      <c r="W98">
        <v>57.17</v>
      </c>
      <c r="X98">
        <v>60.38</v>
      </c>
      <c r="Y98">
        <v>60.38</v>
      </c>
      <c r="Z98">
        <v>55</v>
      </c>
      <c r="AA98" t="s">
        <v>353</v>
      </c>
      <c r="AB98" s="26">
        <v>-1.06E-2</v>
      </c>
      <c r="AE98" t="s">
        <v>330</v>
      </c>
      <c r="AF98" s="33">
        <v>81381.36</v>
      </c>
      <c r="AG98" s="60">
        <v>81926.990000000005</v>
      </c>
      <c r="AH98" s="60">
        <v>82319.210000000006</v>
      </c>
      <c r="AI98" s="60">
        <v>80726.06</v>
      </c>
      <c r="AJ98" t="s">
        <v>464</v>
      </c>
      <c r="AK98" s="26">
        <v>-3.8E-3</v>
      </c>
      <c r="AM98" t="s">
        <v>328</v>
      </c>
      <c r="AN98">
        <v>15.82</v>
      </c>
      <c r="AO98">
        <v>17.55</v>
      </c>
      <c r="AP98">
        <v>17.98</v>
      </c>
      <c r="AQ98">
        <v>15.53</v>
      </c>
      <c r="AR98" t="s">
        <v>572</v>
      </c>
      <c r="AS98" s="26">
        <v>-8.1000000000000003E-2</v>
      </c>
      <c r="AU98" t="s">
        <v>328</v>
      </c>
      <c r="AV98" s="33">
        <v>63.05</v>
      </c>
      <c r="AW98">
        <v>62.9</v>
      </c>
      <c r="AX98">
        <v>64.209999999999994</v>
      </c>
      <c r="AY98">
        <v>62.9</v>
      </c>
      <c r="AZ98" t="s">
        <v>676</v>
      </c>
      <c r="BA98" s="26">
        <v>1.6000000000000001E-3</v>
      </c>
      <c r="BC98" s="79" t="s">
        <v>328</v>
      </c>
      <c r="BD98" s="84">
        <v>15.95</v>
      </c>
      <c r="BE98">
        <v>17.11</v>
      </c>
      <c r="BF98">
        <v>17.47</v>
      </c>
      <c r="BG98">
        <v>15.38</v>
      </c>
      <c r="BH98" t="s">
        <v>782</v>
      </c>
      <c r="BI98" s="26">
        <v>-7.1099999999999997E-2</v>
      </c>
    </row>
    <row r="99" spans="2:61">
      <c r="B99" s="47" t="s">
        <v>119</v>
      </c>
      <c r="C99" s="33">
        <v>41.39</v>
      </c>
      <c r="D99">
        <v>41.39</v>
      </c>
      <c r="E99">
        <v>840</v>
      </c>
      <c r="F99">
        <v>41.39</v>
      </c>
      <c r="G99" t="s">
        <v>119</v>
      </c>
      <c r="H99">
        <v>7365135</v>
      </c>
      <c r="I99">
        <v>54900</v>
      </c>
      <c r="J99">
        <v>7365135</v>
      </c>
      <c r="M99" s="47">
        <v>45376</v>
      </c>
      <c r="N99" s="33">
        <v>41.39</v>
      </c>
      <c r="O99">
        <v>41.39</v>
      </c>
      <c r="P99">
        <v>41.39</v>
      </c>
      <c r="Q99">
        <v>41.39</v>
      </c>
      <c r="R99">
        <v>41.39</v>
      </c>
      <c r="S99">
        <v>840</v>
      </c>
      <c r="V99" s="58" t="s">
        <v>354</v>
      </c>
      <c r="W99">
        <v>57.78</v>
      </c>
      <c r="X99">
        <v>56.32</v>
      </c>
      <c r="Y99">
        <v>58.75</v>
      </c>
      <c r="Z99">
        <v>53.95</v>
      </c>
      <c r="AA99" t="s">
        <v>355</v>
      </c>
      <c r="AB99" s="26">
        <v>3.3399999999999999E-2</v>
      </c>
      <c r="AE99" s="58">
        <v>45453</v>
      </c>
      <c r="AF99" s="33">
        <v>81688.45</v>
      </c>
      <c r="AG99" s="60">
        <v>85208.76</v>
      </c>
      <c r="AH99" s="60">
        <v>85359.65</v>
      </c>
      <c r="AI99" s="60">
        <v>81532.679999999993</v>
      </c>
      <c r="AJ99" t="s">
        <v>465</v>
      </c>
      <c r="AK99" s="26">
        <v>-4.5400000000000003E-2</v>
      </c>
      <c r="AM99" t="s">
        <v>330</v>
      </c>
      <c r="AN99">
        <v>17.22</v>
      </c>
      <c r="AO99">
        <v>18.61</v>
      </c>
      <c r="AP99">
        <v>18.61</v>
      </c>
      <c r="AQ99">
        <v>16.760000000000002</v>
      </c>
      <c r="AR99" t="s">
        <v>573</v>
      </c>
      <c r="AS99" s="26">
        <v>-6.5299999999999997E-2</v>
      </c>
      <c r="AU99" t="s">
        <v>330</v>
      </c>
      <c r="AV99" s="33">
        <v>62.95</v>
      </c>
      <c r="AW99">
        <v>63</v>
      </c>
      <c r="AX99">
        <v>64</v>
      </c>
      <c r="AY99">
        <v>62.95</v>
      </c>
      <c r="AZ99" t="s">
        <v>677</v>
      </c>
      <c r="BA99" s="26">
        <v>-1.6400000000000001E-2</v>
      </c>
      <c r="BC99" s="79" t="s">
        <v>330</v>
      </c>
      <c r="BD99" s="84">
        <v>17.170000000000002</v>
      </c>
      <c r="BE99">
        <v>16.77</v>
      </c>
      <c r="BF99">
        <v>18.559999999999999</v>
      </c>
      <c r="BG99">
        <v>16.77</v>
      </c>
      <c r="BH99" t="s">
        <v>783</v>
      </c>
      <c r="BI99" s="26">
        <v>8.8000000000000005E-3</v>
      </c>
    </row>
    <row r="100" spans="2:61">
      <c r="B100" s="47" t="s">
        <v>120</v>
      </c>
      <c r="C100" s="33">
        <v>41.39</v>
      </c>
      <c r="D100">
        <v>41.39</v>
      </c>
      <c r="E100" s="48">
        <v>1679</v>
      </c>
      <c r="F100">
        <v>41.39</v>
      </c>
      <c r="G100" t="s">
        <v>120</v>
      </c>
      <c r="H100">
        <v>7283194</v>
      </c>
      <c r="I100">
        <v>96700</v>
      </c>
      <c r="J100">
        <v>7283194</v>
      </c>
      <c r="M100" s="47">
        <v>45369</v>
      </c>
      <c r="N100" s="33">
        <v>41.39</v>
      </c>
      <c r="O100">
        <v>41.39</v>
      </c>
      <c r="P100">
        <v>35.68</v>
      </c>
      <c r="Q100">
        <v>41.39</v>
      </c>
      <c r="R100">
        <v>41.39</v>
      </c>
      <c r="S100" s="48">
        <v>1679</v>
      </c>
      <c r="V100" s="58" t="s">
        <v>356</v>
      </c>
      <c r="W100">
        <v>55.91</v>
      </c>
      <c r="X100">
        <v>60.5</v>
      </c>
      <c r="Y100">
        <v>60.5</v>
      </c>
      <c r="Z100">
        <v>55.1</v>
      </c>
      <c r="AA100" t="s">
        <v>357</v>
      </c>
      <c r="AB100" s="26">
        <v>-5.04E-2</v>
      </c>
      <c r="AE100" t="s">
        <v>333</v>
      </c>
      <c r="AF100" s="33">
        <v>85571.85</v>
      </c>
      <c r="AG100" s="60">
        <v>84651.15</v>
      </c>
      <c r="AH100" s="60">
        <v>85978.25</v>
      </c>
      <c r="AI100" s="60">
        <v>84607.38</v>
      </c>
      <c r="AJ100" t="s">
        <v>466</v>
      </c>
      <c r="AK100" s="26">
        <v>1.2200000000000001E-2</v>
      </c>
      <c r="AM100" s="58">
        <v>45453</v>
      </c>
      <c r="AN100">
        <v>18.420000000000002</v>
      </c>
      <c r="AO100">
        <v>17.38</v>
      </c>
      <c r="AP100">
        <v>18.86</v>
      </c>
      <c r="AQ100">
        <v>15.53</v>
      </c>
      <c r="AR100" t="s">
        <v>574</v>
      </c>
      <c r="AS100" s="26">
        <v>6.9800000000000001E-2</v>
      </c>
      <c r="AU100" s="58">
        <v>45453</v>
      </c>
      <c r="AV100" s="33">
        <v>64</v>
      </c>
      <c r="AW100">
        <v>66.63</v>
      </c>
      <c r="AX100">
        <v>66.63</v>
      </c>
      <c r="AY100">
        <v>61.75</v>
      </c>
      <c r="AZ100" t="s">
        <v>678</v>
      </c>
      <c r="BA100" s="26">
        <v>-1.54E-2</v>
      </c>
      <c r="BC100" s="85">
        <v>45453</v>
      </c>
      <c r="BD100" s="84">
        <v>17.02</v>
      </c>
      <c r="BE100">
        <v>18.72</v>
      </c>
      <c r="BF100">
        <v>18.72</v>
      </c>
      <c r="BG100">
        <v>16.3</v>
      </c>
      <c r="BH100" t="s">
        <v>784</v>
      </c>
      <c r="BI100" s="26">
        <v>-9.0800000000000006E-2</v>
      </c>
    </row>
    <row r="101" spans="2:61">
      <c r="B101" s="47" t="s">
        <v>121</v>
      </c>
      <c r="C101" s="33">
        <v>37.549999999999997</v>
      </c>
      <c r="D101">
        <v>37.549999999999997</v>
      </c>
      <c r="E101">
        <v>100</v>
      </c>
      <c r="F101">
        <v>37.549999999999997</v>
      </c>
      <c r="G101" t="s">
        <v>121</v>
      </c>
      <c r="H101">
        <v>7264343</v>
      </c>
      <c r="I101">
        <v>503700</v>
      </c>
      <c r="J101">
        <v>7264343</v>
      </c>
      <c r="M101" s="47">
        <v>45362</v>
      </c>
      <c r="N101" s="33">
        <v>37.549999999999997</v>
      </c>
      <c r="O101">
        <v>37.549999999999997</v>
      </c>
      <c r="P101">
        <v>37.549999999999997</v>
      </c>
      <c r="Q101">
        <v>37.549999999999997</v>
      </c>
      <c r="R101">
        <v>37.549999999999997</v>
      </c>
      <c r="S101">
        <v>100</v>
      </c>
      <c r="V101" s="58" t="s">
        <v>358</v>
      </c>
      <c r="W101">
        <v>58.88</v>
      </c>
      <c r="X101">
        <v>61.9</v>
      </c>
      <c r="Y101">
        <v>61.9</v>
      </c>
      <c r="Z101">
        <v>56.01</v>
      </c>
      <c r="AA101" t="s">
        <v>359</v>
      </c>
      <c r="AB101" s="26">
        <v>1.41E-2</v>
      </c>
      <c r="AE101" t="s">
        <v>335</v>
      </c>
      <c r="AF101" s="33">
        <v>84544.31</v>
      </c>
      <c r="AG101" s="60">
        <v>82985.33</v>
      </c>
      <c r="AH101" s="60">
        <v>84694.46</v>
      </c>
      <c r="AI101" s="60">
        <v>82700.63</v>
      </c>
      <c r="AJ101" t="s">
        <v>467</v>
      </c>
      <c r="AK101" s="26">
        <v>1.9900000000000001E-2</v>
      </c>
      <c r="AM101" t="s">
        <v>333</v>
      </c>
      <c r="AN101">
        <v>17.22</v>
      </c>
      <c r="AO101">
        <v>17.649999999999999</v>
      </c>
      <c r="AP101">
        <v>18.079999999999998</v>
      </c>
      <c r="AQ101">
        <v>16.72</v>
      </c>
      <c r="AR101" t="s">
        <v>575</v>
      </c>
      <c r="AS101" s="26">
        <v>-3.1099999999999999E-2</v>
      </c>
      <c r="AU101" t="s">
        <v>333</v>
      </c>
      <c r="AV101" s="33">
        <v>65</v>
      </c>
      <c r="AW101">
        <v>68.25</v>
      </c>
      <c r="AX101">
        <v>70</v>
      </c>
      <c r="AY101">
        <v>63.05</v>
      </c>
      <c r="AZ101" t="s">
        <v>679</v>
      </c>
      <c r="BA101" s="26">
        <v>0</v>
      </c>
      <c r="BC101" s="79" t="s">
        <v>333</v>
      </c>
      <c r="BD101" s="84">
        <v>18.72</v>
      </c>
      <c r="BE101">
        <v>18.77</v>
      </c>
      <c r="BF101">
        <v>20.64</v>
      </c>
      <c r="BG101">
        <v>17.72</v>
      </c>
      <c r="BH101" t="s">
        <v>785</v>
      </c>
      <c r="BI101" s="26">
        <v>2.07E-2</v>
      </c>
    </row>
    <row r="102" spans="2:61">
      <c r="B102" s="47" t="s">
        <v>122</v>
      </c>
      <c r="C102" s="33">
        <v>37.549999999999997</v>
      </c>
      <c r="D102">
        <v>37.549999999999997</v>
      </c>
      <c r="E102" t="s">
        <v>69</v>
      </c>
      <c r="F102">
        <v>37.549999999999997</v>
      </c>
      <c r="G102" t="s">
        <v>122</v>
      </c>
      <c r="H102">
        <v>7411939</v>
      </c>
      <c r="I102">
        <v>64700</v>
      </c>
      <c r="J102">
        <v>7411939</v>
      </c>
      <c r="M102" s="47">
        <v>45355</v>
      </c>
      <c r="N102" s="33">
        <v>37.549999999999997</v>
      </c>
      <c r="O102">
        <v>37.549999999999997</v>
      </c>
      <c r="P102">
        <v>37.549999999999997</v>
      </c>
      <c r="Q102">
        <v>37.549999999999997</v>
      </c>
      <c r="R102">
        <v>37.549999999999997</v>
      </c>
      <c r="V102" s="58">
        <v>45541</v>
      </c>
      <c r="W102">
        <v>58.06</v>
      </c>
      <c r="X102">
        <v>64.3</v>
      </c>
      <c r="Y102">
        <v>64.3</v>
      </c>
      <c r="Z102">
        <v>53.6</v>
      </c>
      <c r="AA102" t="s">
        <v>360</v>
      </c>
      <c r="AB102" s="26">
        <v>-6.7999999999999996E-3</v>
      </c>
      <c r="AE102" t="s">
        <v>337</v>
      </c>
      <c r="AF102" s="33">
        <v>82890.94</v>
      </c>
      <c r="AG102" s="60">
        <v>80973.75</v>
      </c>
      <c r="AH102" s="60">
        <v>83116.19</v>
      </c>
      <c r="AI102" s="60">
        <v>80895.05</v>
      </c>
      <c r="AJ102" t="s">
        <v>468</v>
      </c>
      <c r="AK102" s="26">
        <v>2.1000000000000001E-2</v>
      </c>
      <c r="AM102" t="s">
        <v>335</v>
      </c>
      <c r="AN102">
        <v>17.77</v>
      </c>
      <c r="AO102">
        <v>17.989999999999998</v>
      </c>
      <c r="AP102">
        <v>19.18</v>
      </c>
      <c r="AQ102">
        <v>17.239999999999998</v>
      </c>
      <c r="AR102" t="s">
        <v>576</v>
      </c>
      <c r="AS102" s="26">
        <v>-2.0799999999999999E-2</v>
      </c>
      <c r="AU102" t="s">
        <v>335</v>
      </c>
      <c r="AV102" s="33">
        <v>65</v>
      </c>
      <c r="AW102">
        <v>61</v>
      </c>
      <c r="AX102">
        <v>67.2</v>
      </c>
      <c r="AY102">
        <v>61</v>
      </c>
      <c r="AZ102" t="s">
        <v>680</v>
      </c>
      <c r="BA102" s="26">
        <v>7.0000000000000007E-2</v>
      </c>
      <c r="BC102" s="79" t="s">
        <v>335</v>
      </c>
      <c r="BD102" s="84">
        <v>18.34</v>
      </c>
      <c r="BE102">
        <v>18.579999999999998</v>
      </c>
      <c r="BF102">
        <v>21.54</v>
      </c>
      <c r="BG102">
        <v>17.5</v>
      </c>
      <c r="BH102" t="s">
        <v>786</v>
      </c>
      <c r="BI102" s="26">
        <v>3.27E-2</v>
      </c>
    </row>
    <row r="103" spans="2:61">
      <c r="B103" s="47" t="s">
        <v>123</v>
      </c>
      <c r="C103" s="33">
        <v>37.549999999999997</v>
      </c>
      <c r="D103">
        <v>37.549999999999997</v>
      </c>
      <c r="E103" t="s">
        <v>69</v>
      </c>
      <c r="F103">
        <v>37.549999999999997</v>
      </c>
      <c r="G103" t="s">
        <v>123</v>
      </c>
      <c r="H103">
        <v>7374535</v>
      </c>
      <c r="I103">
        <v>61700</v>
      </c>
      <c r="J103">
        <v>7374535</v>
      </c>
      <c r="M103" s="47">
        <v>45348</v>
      </c>
      <c r="N103" s="33">
        <v>37.549999999999997</v>
      </c>
      <c r="O103">
        <v>37.549999999999997</v>
      </c>
      <c r="P103">
        <v>37.549999999999997</v>
      </c>
      <c r="Q103">
        <v>37.549999999999997</v>
      </c>
      <c r="R103">
        <v>37.549999999999997</v>
      </c>
      <c r="V103" s="58">
        <v>45328</v>
      </c>
      <c r="W103">
        <v>58.46</v>
      </c>
      <c r="X103">
        <v>55.3</v>
      </c>
      <c r="Y103">
        <v>58.69</v>
      </c>
      <c r="Z103">
        <v>52.4</v>
      </c>
      <c r="AA103" t="s">
        <v>361</v>
      </c>
      <c r="AB103" s="26">
        <v>4.3E-3</v>
      </c>
      <c r="AE103" s="58">
        <v>45513</v>
      </c>
      <c r="AF103" s="33">
        <v>81183.929999999993</v>
      </c>
      <c r="AG103" s="60">
        <v>82725.279999999999</v>
      </c>
      <c r="AH103" s="60">
        <v>82725.279999999999</v>
      </c>
      <c r="AI103" s="60">
        <v>80981.929999999993</v>
      </c>
      <c r="AJ103" t="s">
        <v>469</v>
      </c>
      <c r="AK103" s="26">
        <v>-1.43E-2</v>
      </c>
      <c r="AM103" t="s">
        <v>337</v>
      </c>
      <c r="AN103">
        <v>18.149999999999999</v>
      </c>
      <c r="AO103">
        <v>20.54</v>
      </c>
      <c r="AP103">
        <v>20.54</v>
      </c>
      <c r="AQ103">
        <v>18</v>
      </c>
      <c r="AR103" t="s">
        <v>577</v>
      </c>
      <c r="AS103" s="26">
        <v>-9.9299999999999999E-2</v>
      </c>
      <c r="AU103" t="s">
        <v>337</v>
      </c>
      <c r="AV103" s="33">
        <v>60.75</v>
      </c>
      <c r="AW103">
        <v>58.58</v>
      </c>
      <c r="AX103">
        <v>64.5</v>
      </c>
      <c r="AY103">
        <v>56.9</v>
      </c>
      <c r="AZ103" t="s">
        <v>681</v>
      </c>
      <c r="BA103" s="26">
        <v>3.56E-2</v>
      </c>
      <c r="BC103" s="79" t="s">
        <v>337</v>
      </c>
      <c r="BD103" s="84">
        <v>17.760000000000002</v>
      </c>
      <c r="BE103">
        <v>18.47</v>
      </c>
      <c r="BF103">
        <v>20.39</v>
      </c>
      <c r="BG103">
        <v>17.32</v>
      </c>
      <c r="BH103" t="s">
        <v>787</v>
      </c>
      <c r="BI103" s="26">
        <v>-7.7999999999999996E-3</v>
      </c>
    </row>
    <row r="104" spans="2:61">
      <c r="B104" s="47" t="s">
        <v>124</v>
      </c>
      <c r="C104" s="33">
        <v>37.549999999999997</v>
      </c>
      <c r="D104">
        <v>37.549999999999997</v>
      </c>
      <c r="E104" t="s">
        <v>69</v>
      </c>
      <c r="F104">
        <v>37.549999999999997</v>
      </c>
      <c r="G104" t="s">
        <v>124</v>
      </c>
      <c r="H104">
        <v>7314280</v>
      </c>
      <c r="I104">
        <v>42600</v>
      </c>
      <c r="J104">
        <v>7314280</v>
      </c>
      <c r="M104" s="47">
        <v>45341</v>
      </c>
      <c r="N104" s="33">
        <v>37.549999999999997</v>
      </c>
      <c r="O104">
        <v>37.549999999999997</v>
      </c>
      <c r="P104">
        <v>37.549999999999997</v>
      </c>
      <c r="Q104">
        <v>37.549999999999997</v>
      </c>
      <c r="R104">
        <v>37.549999999999997</v>
      </c>
      <c r="V104" s="58" t="s">
        <v>362</v>
      </c>
      <c r="W104">
        <v>58.21</v>
      </c>
      <c r="X104">
        <v>64.709999999999994</v>
      </c>
      <c r="Y104">
        <v>71.8</v>
      </c>
      <c r="Z104">
        <v>58.21</v>
      </c>
      <c r="AA104" t="s">
        <v>363</v>
      </c>
      <c r="AB104" s="26">
        <v>-0.1452</v>
      </c>
      <c r="AE104" s="58">
        <v>45300</v>
      </c>
      <c r="AF104" s="33">
        <v>82365.77</v>
      </c>
      <c r="AG104" s="60">
        <v>81388.259999999995</v>
      </c>
      <c r="AH104" s="60">
        <v>82637.03</v>
      </c>
      <c r="AI104" s="60">
        <v>81278.44</v>
      </c>
      <c r="AJ104" t="s">
        <v>470</v>
      </c>
      <c r="AK104" s="26">
        <v>1.5800000000000002E-2</v>
      </c>
      <c r="AM104" s="58">
        <v>45513</v>
      </c>
      <c r="AN104">
        <v>20.149999999999999</v>
      </c>
      <c r="AO104">
        <v>19.75</v>
      </c>
      <c r="AP104">
        <v>21.5</v>
      </c>
      <c r="AQ104">
        <v>18.77</v>
      </c>
      <c r="AR104" t="s">
        <v>578</v>
      </c>
      <c r="AS104" s="26">
        <v>-2.7900000000000001E-2</v>
      </c>
      <c r="AU104" s="58">
        <v>45513</v>
      </c>
      <c r="AV104" s="33">
        <v>58.66</v>
      </c>
      <c r="AW104">
        <v>60.77</v>
      </c>
      <c r="AX104">
        <v>60.9</v>
      </c>
      <c r="AY104">
        <v>56.12</v>
      </c>
      <c r="AZ104" t="s">
        <v>682</v>
      </c>
      <c r="BA104" s="26">
        <v>-1.54E-2</v>
      </c>
      <c r="BC104" s="85">
        <v>45513</v>
      </c>
      <c r="BD104" s="84">
        <v>17.899999999999999</v>
      </c>
      <c r="BE104">
        <v>16.97</v>
      </c>
      <c r="BF104">
        <v>19.39</v>
      </c>
      <c r="BG104">
        <v>16.22</v>
      </c>
      <c r="BH104" t="s">
        <v>788</v>
      </c>
      <c r="BI104" s="26">
        <v>8.8099999999999998E-2</v>
      </c>
    </row>
    <row r="105" spans="2:61">
      <c r="B105" s="47" t="s">
        <v>125</v>
      </c>
      <c r="C105" s="33">
        <v>37.549999999999997</v>
      </c>
      <c r="D105">
        <v>37.549999999999997</v>
      </c>
      <c r="E105" t="s">
        <v>69</v>
      </c>
      <c r="F105">
        <v>37.549999999999997</v>
      </c>
      <c r="G105" t="s">
        <v>125</v>
      </c>
      <c r="H105">
        <v>7242664</v>
      </c>
      <c r="I105">
        <v>52900</v>
      </c>
      <c r="J105">
        <v>7242664</v>
      </c>
      <c r="M105" s="47">
        <v>45334</v>
      </c>
      <c r="N105" s="33">
        <v>37.549999999999997</v>
      </c>
      <c r="O105">
        <v>37.549999999999997</v>
      </c>
      <c r="P105">
        <v>37.549999999999997</v>
      </c>
      <c r="Q105">
        <v>37.549999999999997</v>
      </c>
      <c r="R105">
        <v>37.549999999999997</v>
      </c>
      <c r="V105" s="58" t="s">
        <v>364</v>
      </c>
      <c r="W105">
        <v>68.099999999999994</v>
      </c>
      <c r="X105">
        <v>69.95</v>
      </c>
      <c r="Y105">
        <v>73</v>
      </c>
      <c r="Z105">
        <v>67.34</v>
      </c>
      <c r="AA105" t="s">
        <v>365</v>
      </c>
      <c r="AB105" s="26">
        <v>-2.64E-2</v>
      </c>
      <c r="AE105" t="s">
        <v>341</v>
      </c>
      <c r="AF105" s="33">
        <v>81086.210000000006</v>
      </c>
      <c r="AG105" s="60">
        <v>80680.25</v>
      </c>
      <c r="AH105" s="60">
        <v>81236.45</v>
      </c>
      <c r="AI105" s="60">
        <v>80332.649999999994</v>
      </c>
      <c r="AJ105" t="s">
        <v>471</v>
      </c>
      <c r="AK105" s="26">
        <v>8.0999999999999996E-3</v>
      </c>
      <c r="AM105" s="58">
        <v>45300</v>
      </c>
      <c r="AN105">
        <v>20.73</v>
      </c>
      <c r="AO105">
        <v>18.25</v>
      </c>
      <c r="AP105">
        <v>22.16</v>
      </c>
      <c r="AQ105">
        <v>17.43</v>
      </c>
      <c r="AR105" t="s">
        <v>579</v>
      </c>
      <c r="AS105" s="26">
        <v>0.14879999999999999</v>
      </c>
      <c r="AU105" s="58">
        <v>45300</v>
      </c>
      <c r="AV105" s="33">
        <v>59.58</v>
      </c>
      <c r="AW105">
        <v>58.36</v>
      </c>
      <c r="AX105">
        <v>63.05</v>
      </c>
      <c r="AY105">
        <v>58.21</v>
      </c>
      <c r="AZ105" t="s">
        <v>683</v>
      </c>
      <c r="BA105" s="26">
        <v>7.1800000000000003E-2</v>
      </c>
      <c r="BC105" s="85">
        <v>45300</v>
      </c>
      <c r="BD105" s="84">
        <v>16.45</v>
      </c>
      <c r="BE105">
        <v>17.489999999999998</v>
      </c>
      <c r="BF105">
        <v>18.29</v>
      </c>
      <c r="BG105">
        <v>15.5</v>
      </c>
      <c r="BH105" t="s">
        <v>789</v>
      </c>
      <c r="BI105" s="26">
        <v>-4.2500000000000003E-2</v>
      </c>
    </row>
    <row r="106" spans="2:61">
      <c r="B106" s="47" t="s">
        <v>126</v>
      </c>
      <c r="C106" s="33">
        <v>37.549999999999997</v>
      </c>
      <c r="D106">
        <v>37.549999999999997</v>
      </c>
      <c r="E106" t="s">
        <v>69</v>
      </c>
      <c r="F106">
        <v>37.549999999999997</v>
      </c>
      <c r="G106" t="s">
        <v>126</v>
      </c>
      <c r="H106">
        <v>7159549</v>
      </c>
      <c r="I106">
        <v>76700</v>
      </c>
      <c r="J106">
        <v>7159549</v>
      </c>
      <c r="M106" s="47">
        <v>45327</v>
      </c>
      <c r="N106" s="33">
        <v>37.549999999999997</v>
      </c>
      <c r="O106">
        <v>37.549999999999997</v>
      </c>
      <c r="P106">
        <v>37.549999999999997</v>
      </c>
      <c r="Q106">
        <v>37.549999999999997</v>
      </c>
      <c r="R106">
        <v>37.549999999999997</v>
      </c>
      <c r="V106" s="58">
        <v>45631</v>
      </c>
      <c r="W106">
        <v>69.95</v>
      </c>
      <c r="X106">
        <v>71</v>
      </c>
      <c r="Y106">
        <v>71</v>
      </c>
      <c r="Z106">
        <v>67.25</v>
      </c>
      <c r="AA106" t="s">
        <v>366</v>
      </c>
      <c r="AB106" s="26">
        <v>-1.4800000000000001E-2</v>
      </c>
      <c r="AE106" t="s">
        <v>343</v>
      </c>
      <c r="AF106" s="33">
        <v>80436.84</v>
      </c>
      <c r="AG106" s="60">
        <v>79330.12</v>
      </c>
      <c r="AH106" s="60">
        <v>80518.210000000006</v>
      </c>
      <c r="AI106" s="60">
        <v>78889.38</v>
      </c>
      <c r="AJ106" t="s">
        <v>472</v>
      </c>
      <c r="AK106" s="26">
        <v>9.1999999999999998E-3</v>
      </c>
      <c r="AM106" t="s">
        <v>341</v>
      </c>
      <c r="AN106">
        <v>18.04</v>
      </c>
      <c r="AO106">
        <v>17.989999999999998</v>
      </c>
      <c r="AP106">
        <v>19.399999999999999</v>
      </c>
      <c r="AQ106">
        <v>17.420000000000002</v>
      </c>
      <c r="AR106" t="s">
        <v>580</v>
      </c>
      <c r="AS106" s="26">
        <v>1.7299999999999999E-2</v>
      </c>
      <c r="AU106" t="s">
        <v>341</v>
      </c>
      <c r="AV106" s="33">
        <v>55.59</v>
      </c>
      <c r="AW106">
        <v>42.14</v>
      </c>
      <c r="AX106">
        <v>55.59</v>
      </c>
      <c r="AY106">
        <v>38.11</v>
      </c>
      <c r="AZ106" t="s">
        <v>684</v>
      </c>
      <c r="BA106" s="26">
        <v>0.2928</v>
      </c>
      <c r="BC106" s="79" t="s">
        <v>341</v>
      </c>
      <c r="BD106" s="84">
        <v>17.18</v>
      </c>
      <c r="BE106">
        <v>17.5</v>
      </c>
      <c r="BF106">
        <v>17.73</v>
      </c>
      <c r="BG106">
        <v>16.8</v>
      </c>
      <c r="BH106" t="s">
        <v>790</v>
      </c>
      <c r="BI106" s="26">
        <v>-9.7999999999999997E-3</v>
      </c>
    </row>
    <row r="107" spans="2:61">
      <c r="B107" s="47" t="s">
        <v>127</v>
      </c>
      <c r="C107" s="33">
        <v>37.549999999999997</v>
      </c>
      <c r="D107">
        <v>37.549999999999997</v>
      </c>
      <c r="E107">
        <v>327</v>
      </c>
      <c r="F107">
        <v>37.549999999999997</v>
      </c>
      <c r="G107" t="s">
        <v>127</v>
      </c>
      <c r="H107">
        <v>7208563</v>
      </c>
      <c r="I107">
        <v>68700</v>
      </c>
      <c r="J107">
        <v>7208563</v>
      </c>
      <c r="M107" s="47">
        <v>45320</v>
      </c>
      <c r="N107" s="33">
        <v>37.549999999999997</v>
      </c>
      <c r="O107">
        <v>39.51</v>
      </c>
      <c r="P107">
        <v>37.549999999999997</v>
      </c>
      <c r="Q107">
        <v>37.549999999999997</v>
      </c>
      <c r="R107">
        <v>37.549999999999997</v>
      </c>
      <c r="S107">
        <v>327</v>
      </c>
      <c r="V107" s="58">
        <v>45417</v>
      </c>
      <c r="W107">
        <v>71</v>
      </c>
      <c r="X107">
        <v>67.650000000000006</v>
      </c>
      <c r="Y107">
        <v>73.569999999999993</v>
      </c>
      <c r="Z107">
        <v>67</v>
      </c>
      <c r="AA107" t="s">
        <v>367</v>
      </c>
      <c r="AB107" s="26">
        <v>5.0299999999999997E-2</v>
      </c>
      <c r="AE107" s="58">
        <v>45604</v>
      </c>
      <c r="AF107" s="33">
        <v>79705.91</v>
      </c>
      <c r="AG107" s="60">
        <v>78588.19</v>
      </c>
      <c r="AH107" s="60">
        <v>79984.240000000005</v>
      </c>
      <c r="AI107" s="60">
        <v>78295.86</v>
      </c>
      <c r="AJ107" t="s">
        <v>473</v>
      </c>
      <c r="AK107" s="26">
        <v>-1.5800000000000002E-2</v>
      </c>
      <c r="AM107" t="s">
        <v>343</v>
      </c>
      <c r="AN107">
        <v>17.739999999999998</v>
      </c>
      <c r="AO107">
        <v>17.100000000000001</v>
      </c>
      <c r="AP107">
        <v>19.829999999999998</v>
      </c>
      <c r="AQ107">
        <v>16.670000000000002</v>
      </c>
      <c r="AR107" t="s">
        <v>581</v>
      </c>
      <c r="AS107" s="26">
        <v>6.7599999999999993E-2</v>
      </c>
      <c r="AU107" t="s">
        <v>343</v>
      </c>
      <c r="AV107" s="33">
        <v>43</v>
      </c>
      <c r="AW107">
        <v>37.5</v>
      </c>
      <c r="AX107">
        <v>45.38</v>
      </c>
      <c r="AY107">
        <v>36.020000000000003</v>
      </c>
      <c r="AZ107" t="s">
        <v>685</v>
      </c>
      <c r="BA107" s="26">
        <v>8.2900000000000001E-2</v>
      </c>
      <c r="BC107" s="79" t="s">
        <v>343</v>
      </c>
      <c r="BD107" s="84">
        <v>17.350000000000001</v>
      </c>
      <c r="BE107">
        <v>15.98</v>
      </c>
      <c r="BF107">
        <v>17.48</v>
      </c>
      <c r="BG107">
        <v>15.75</v>
      </c>
      <c r="BH107" t="s">
        <v>791</v>
      </c>
      <c r="BI107" s="26">
        <v>8.5699999999999998E-2</v>
      </c>
    </row>
    <row r="108" spans="2:61">
      <c r="B108" s="47" t="s">
        <v>128</v>
      </c>
      <c r="C108" s="33">
        <v>39.51</v>
      </c>
      <c r="D108">
        <v>39.51</v>
      </c>
      <c r="E108">
        <v>20</v>
      </c>
      <c r="F108">
        <v>39.51</v>
      </c>
      <c r="G108" t="s">
        <v>128</v>
      </c>
      <c r="H108">
        <v>7070067</v>
      </c>
      <c r="I108">
        <v>63700</v>
      </c>
      <c r="J108">
        <v>7070067</v>
      </c>
      <c r="M108" s="47">
        <v>45313</v>
      </c>
      <c r="N108" s="33">
        <v>39.51</v>
      </c>
      <c r="O108">
        <v>39.51</v>
      </c>
      <c r="P108">
        <v>39.51</v>
      </c>
      <c r="Q108">
        <v>39.51</v>
      </c>
      <c r="R108">
        <v>39.51</v>
      </c>
      <c r="S108">
        <v>20</v>
      </c>
      <c r="V108" s="58" t="s">
        <v>368</v>
      </c>
      <c r="W108">
        <v>67.599999999999994</v>
      </c>
      <c r="X108">
        <v>72.900000000000006</v>
      </c>
      <c r="Y108">
        <v>74.989999999999995</v>
      </c>
      <c r="Z108">
        <v>67.099999999999994</v>
      </c>
      <c r="AA108" t="s">
        <v>369</v>
      </c>
      <c r="AB108" s="26">
        <v>-4.1099999999999998E-2</v>
      </c>
      <c r="AE108" s="58">
        <v>45390</v>
      </c>
      <c r="AF108" s="33">
        <v>80981.95</v>
      </c>
      <c r="AG108" s="60">
        <v>81679.649999999994</v>
      </c>
      <c r="AH108" s="60">
        <v>82129.490000000005</v>
      </c>
      <c r="AI108" s="60">
        <v>80868.91</v>
      </c>
      <c r="AJ108" t="s">
        <v>474</v>
      </c>
      <c r="AK108" s="26">
        <v>-4.3E-3</v>
      </c>
      <c r="AM108" s="58">
        <v>45604</v>
      </c>
      <c r="AN108">
        <v>16.61</v>
      </c>
      <c r="AO108">
        <v>16.5</v>
      </c>
      <c r="AP108">
        <v>17.86</v>
      </c>
      <c r="AQ108">
        <v>15.89</v>
      </c>
      <c r="AR108" t="s">
        <v>582</v>
      </c>
      <c r="AS108" s="26">
        <v>4.1999999999999997E-3</v>
      </c>
      <c r="AU108" s="58">
        <v>45604</v>
      </c>
      <c r="AV108" s="33">
        <v>39.71</v>
      </c>
      <c r="AW108">
        <v>36.159999999999997</v>
      </c>
      <c r="AX108">
        <v>43.75</v>
      </c>
      <c r="AY108">
        <v>32.549999999999997</v>
      </c>
      <c r="AZ108" t="s">
        <v>686</v>
      </c>
      <c r="BA108" s="26">
        <v>9.8500000000000004E-2</v>
      </c>
      <c r="BC108" s="85">
        <v>45604</v>
      </c>
      <c r="BD108" s="84">
        <v>15.98</v>
      </c>
      <c r="BE108">
        <v>16.73</v>
      </c>
      <c r="BF108">
        <v>17.47</v>
      </c>
      <c r="BG108">
        <v>15.75</v>
      </c>
      <c r="BH108" t="s">
        <v>792</v>
      </c>
      <c r="BI108" s="26">
        <v>-6.3899999999999998E-2</v>
      </c>
    </row>
    <row r="109" spans="2:61">
      <c r="B109" s="47" t="s">
        <v>129</v>
      </c>
      <c r="C109" s="33">
        <v>39.51</v>
      </c>
      <c r="D109">
        <v>39.51</v>
      </c>
      <c r="E109" t="s">
        <v>69</v>
      </c>
      <c r="F109">
        <v>39.51</v>
      </c>
      <c r="G109" t="s">
        <v>129</v>
      </c>
      <c r="H109">
        <v>7168323</v>
      </c>
      <c r="I109">
        <v>79800</v>
      </c>
      <c r="J109">
        <v>7168323</v>
      </c>
      <c r="M109" s="47">
        <v>45306</v>
      </c>
      <c r="N109" s="33">
        <v>39.51</v>
      </c>
      <c r="O109">
        <v>39.51</v>
      </c>
      <c r="P109">
        <v>39.51</v>
      </c>
      <c r="Q109">
        <v>39.51</v>
      </c>
      <c r="R109">
        <v>39.51</v>
      </c>
      <c r="V109" s="58" t="s">
        <v>370</v>
      </c>
      <c r="W109">
        <v>70.5</v>
      </c>
      <c r="X109">
        <v>73.2</v>
      </c>
      <c r="Y109">
        <v>76</v>
      </c>
      <c r="Z109">
        <v>69</v>
      </c>
      <c r="AA109" t="s">
        <v>371</v>
      </c>
      <c r="AB109" s="26">
        <v>-3.6900000000000002E-2</v>
      </c>
      <c r="AE109" t="s">
        <v>347</v>
      </c>
      <c r="AF109" s="33">
        <v>81332.72</v>
      </c>
      <c r="AG109" s="60">
        <v>80408.899999999994</v>
      </c>
      <c r="AH109" s="60">
        <v>81427.179999999993</v>
      </c>
      <c r="AI109" s="60">
        <v>79224.320000000007</v>
      </c>
      <c r="AJ109" t="s">
        <v>475</v>
      </c>
      <c r="AK109" s="26">
        <v>8.9999999999999993E-3</v>
      </c>
      <c r="AM109" s="58">
        <v>45390</v>
      </c>
      <c r="AN109">
        <v>16.54</v>
      </c>
      <c r="AO109">
        <v>14.25</v>
      </c>
      <c r="AP109">
        <v>17.899999999999999</v>
      </c>
      <c r="AQ109">
        <v>13.74</v>
      </c>
      <c r="AR109" t="s">
        <v>583</v>
      </c>
      <c r="AS109" s="26">
        <v>8.3299999999999999E-2</v>
      </c>
      <c r="AU109" s="58">
        <v>45390</v>
      </c>
      <c r="AV109" s="33">
        <v>36.15</v>
      </c>
      <c r="AW109">
        <v>36.08</v>
      </c>
      <c r="AX109">
        <v>36.15</v>
      </c>
      <c r="AY109">
        <v>32.479999999999997</v>
      </c>
      <c r="AZ109" t="s">
        <v>687</v>
      </c>
      <c r="BA109" s="26">
        <v>1.9E-3</v>
      </c>
      <c r="BC109" s="85">
        <v>45390</v>
      </c>
      <c r="BD109" s="84">
        <v>17.07</v>
      </c>
      <c r="BE109">
        <v>17.11</v>
      </c>
      <c r="BF109">
        <v>17.98</v>
      </c>
      <c r="BG109">
        <v>16.16</v>
      </c>
      <c r="BH109" t="s">
        <v>793</v>
      </c>
      <c r="BI109" s="26">
        <v>-2.3E-3</v>
      </c>
    </row>
    <row r="110" spans="2:61">
      <c r="B110" s="47" t="s">
        <v>130</v>
      </c>
      <c r="C110" s="33">
        <v>39.51</v>
      </c>
      <c r="D110">
        <v>39.51</v>
      </c>
      <c r="E110" t="s">
        <v>69</v>
      </c>
      <c r="F110">
        <v>39.51</v>
      </c>
      <c r="G110" t="s">
        <v>130</v>
      </c>
      <c r="H110">
        <v>7256845</v>
      </c>
      <c r="I110">
        <v>58000</v>
      </c>
      <c r="J110">
        <v>7256845</v>
      </c>
      <c r="M110" s="47">
        <v>45299</v>
      </c>
      <c r="N110" s="33">
        <v>39.51</v>
      </c>
      <c r="O110">
        <v>39.51</v>
      </c>
      <c r="P110">
        <v>39.51</v>
      </c>
      <c r="Q110">
        <v>39.51</v>
      </c>
      <c r="R110">
        <v>39.51</v>
      </c>
      <c r="V110" s="58" t="s">
        <v>372</v>
      </c>
      <c r="W110">
        <v>73.2</v>
      </c>
      <c r="X110">
        <v>70</v>
      </c>
      <c r="Y110">
        <v>76</v>
      </c>
      <c r="Z110">
        <v>67.69</v>
      </c>
      <c r="AA110" t="s">
        <v>373</v>
      </c>
      <c r="AB110" s="26">
        <v>-1.1999999999999999E-3</v>
      </c>
      <c r="AE110" t="s">
        <v>349</v>
      </c>
      <c r="AF110" s="33">
        <v>80604.649999999994</v>
      </c>
      <c r="AG110" s="60">
        <v>80686.539999999994</v>
      </c>
      <c r="AH110" s="60">
        <v>81587.759999999995</v>
      </c>
      <c r="AI110" s="60">
        <v>80390.37</v>
      </c>
      <c r="AJ110" t="s">
        <v>476</v>
      </c>
      <c r="AK110" s="26">
        <v>1.1000000000000001E-3</v>
      </c>
      <c r="AM110" t="s">
        <v>347</v>
      </c>
      <c r="AN110">
        <v>15.27</v>
      </c>
      <c r="AO110">
        <v>15.49</v>
      </c>
      <c r="AP110">
        <v>16.57</v>
      </c>
      <c r="AQ110">
        <v>14.88</v>
      </c>
      <c r="AR110" t="s">
        <v>584</v>
      </c>
      <c r="AS110" s="26">
        <v>-3.2300000000000002E-2</v>
      </c>
      <c r="AU110" t="s">
        <v>347</v>
      </c>
      <c r="AV110" s="33">
        <v>36.08</v>
      </c>
      <c r="AW110">
        <v>36.619999999999997</v>
      </c>
      <c r="AX110">
        <v>37.5</v>
      </c>
      <c r="AY110">
        <v>34.770000000000003</v>
      </c>
      <c r="AZ110" t="s">
        <v>688</v>
      </c>
      <c r="BA110" s="26">
        <v>5.0000000000000001E-3</v>
      </c>
      <c r="BC110" s="79" t="s">
        <v>347</v>
      </c>
      <c r="BD110" s="84">
        <v>17.11</v>
      </c>
      <c r="BE110">
        <v>17.739999999999998</v>
      </c>
      <c r="BF110">
        <v>18.47</v>
      </c>
      <c r="BG110">
        <v>16.260000000000002</v>
      </c>
      <c r="BH110" t="s">
        <v>794</v>
      </c>
      <c r="BI110" s="26">
        <v>-1.78E-2</v>
      </c>
    </row>
    <row r="111" spans="2:61">
      <c r="B111" s="47" t="s">
        <v>131</v>
      </c>
      <c r="C111" s="33">
        <v>39.51</v>
      </c>
      <c r="D111">
        <v>39.51</v>
      </c>
      <c r="E111">
        <v>195</v>
      </c>
      <c r="F111">
        <v>39.51</v>
      </c>
      <c r="G111" t="s">
        <v>131</v>
      </c>
      <c r="H111">
        <v>7202615</v>
      </c>
      <c r="I111">
        <v>37700</v>
      </c>
      <c r="J111">
        <v>7202615</v>
      </c>
      <c r="M111" s="47">
        <v>45292</v>
      </c>
      <c r="N111" s="33">
        <v>39.51</v>
      </c>
      <c r="O111">
        <v>39.51</v>
      </c>
      <c r="P111">
        <v>39.51</v>
      </c>
      <c r="Q111">
        <v>39.51</v>
      </c>
      <c r="R111">
        <v>39.51</v>
      </c>
      <c r="V111" s="58">
        <v>45477</v>
      </c>
      <c r="W111">
        <v>73.290000000000006</v>
      </c>
      <c r="X111">
        <v>69.02</v>
      </c>
      <c r="Y111">
        <v>75</v>
      </c>
      <c r="Z111">
        <v>68.25</v>
      </c>
      <c r="AA111" t="s">
        <v>374</v>
      </c>
      <c r="AB111" s="26">
        <v>8.8000000000000005E-3</v>
      </c>
      <c r="AE111" t="s">
        <v>351</v>
      </c>
      <c r="AF111" s="33">
        <v>80519.34</v>
      </c>
      <c r="AG111" s="60">
        <v>79915</v>
      </c>
      <c r="AH111" s="60">
        <v>80893.509999999995</v>
      </c>
      <c r="AI111" s="60">
        <v>79435.759999999995</v>
      </c>
      <c r="AJ111" t="s">
        <v>477</v>
      </c>
      <c r="AK111" s="26">
        <v>6.4999999999999997E-3</v>
      </c>
      <c r="AM111" t="s">
        <v>349</v>
      </c>
      <c r="AN111">
        <v>15.78</v>
      </c>
      <c r="AO111">
        <v>14.24</v>
      </c>
      <c r="AP111">
        <v>17.29</v>
      </c>
      <c r="AQ111">
        <v>13.69</v>
      </c>
      <c r="AR111" t="s">
        <v>585</v>
      </c>
      <c r="AS111" s="26">
        <v>8.6400000000000005E-2</v>
      </c>
      <c r="AU111" t="s">
        <v>349</v>
      </c>
      <c r="AV111" s="33">
        <v>35.9</v>
      </c>
      <c r="AW111">
        <v>38.58</v>
      </c>
      <c r="AX111">
        <v>40.24</v>
      </c>
      <c r="AY111">
        <v>34.5</v>
      </c>
      <c r="AZ111" t="s">
        <v>689</v>
      </c>
      <c r="BA111" s="26">
        <v>-2.3099999999999999E-2</v>
      </c>
      <c r="BC111" s="79" t="s">
        <v>349</v>
      </c>
      <c r="BD111" s="84">
        <v>17.420000000000002</v>
      </c>
      <c r="BE111">
        <v>16.48</v>
      </c>
      <c r="BF111">
        <v>19.940000000000001</v>
      </c>
      <c r="BG111">
        <v>16.100000000000001</v>
      </c>
      <c r="BH111" t="s">
        <v>795</v>
      </c>
      <c r="BI111" s="26">
        <v>5.7000000000000002E-2</v>
      </c>
    </row>
    <row r="112" spans="2:61">
      <c r="V112" s="58" t="s">
        <v>375</v>
      </c>
      <c r="W112">
        <v>72.650000000000006</v>
      </c>
      <c r="X112">
        <v>65.900000000000006</v>
      </c>
      <c r="Y112">
        <v>75.11</v>
      </c>
      <c r="Z112">
        <v>62.09</v>
      </c>
      <c r="AA112" t="s">
        <v>376</v>
      </c>
      <c r="AB112" s="26">
        <v>0.13500000000000001</v>
      </c>
      <c r="AE112" s="58">
        <v>45480</v>
      </c>
      <c r="AF112" s="33">
        <v>79996.600000000006</v>
      </c>
      <c r="AG112" s="60">
        <v>79043.350000000006</v>
      </c>
      <c r="AH112" s="60">
        <v>80392.639999999999</v>
      </c>
      <c r="AI112" s="60">
        <v>78971.789999999994</v>
      </c>
      <c r="AJ112" t="s">
        <v>478</v>
      </c>
      <c r="AK112" s="26">
        <v>1.2200000000000001E-2</v>
      </c>
      <c r="AM112" t="s">
        <v>351</v>
      </c>
      <c r="AN112">
        <v>14.52</v>
      </c>
      <c r="AO112">
        <v>13.59</v>
      </c>
      <c r="AP112">
        <v>16.5</v>
      </c>
      <c r="AQ112">
        <v>13.25</v>
      </c>
      <c r="AR112" t="s">
        <v>546</v>
      </c>
      <c r="AS112" s="26">
        <v>0.1145</v>
      </c>
      <c r="AU112" t="s">
        <v>351</v>
      </c>
      <c r="AV112" s="33">
        <v>36.75</v>
      </c>
      <c r="AW112">
        <v>36.479999999999997</v>
      </c>
      <c r="AX112">
        <v>38.4</v>
      </c>
      <c r="AY112">
        <v>34.770000000000003</v>
      </c>
      <c r="AZ112" t="s">
        <v>690</v>
      </c>
      <c r="BA112" s="26">
        <v>5.7599999999999998E-2</v>
      </c>
      <c r="BC112" s="79" t="s">
        <v>351</v>
      </c>
      <c r="BD112" s="84">
        <v>16.48</v>
      </c>
      <c r="BE112">
        <v>16.55</v>
      </c>
      <c r="BF112">
        <v>17.47</v>
      </c>
      <c r="BG112">
        <v>16.02</v>
      </c>
      <c r="BH112" t="s">
        <v>796</v>
      </c>
      <c r="BI112" s="26">
        <v>-1.0800000000000001E-2</v>
      </c>
    </row>
    <row r="113" spans="22:61">
      <c r="V113" s="58" t="s">
        <v>377</v>
      </c>
      <c r="W113">
        <v>64.010000000000005</v>
      </c>
      <c r="X113">
        <v>69.05</v>
      </c>
      <c r="Y113">
        <v>69.95</v>
      </c>
      <c r="Z113">
        <v>61.25</v>
      </c>
      <c r="AA113" t="s">
        <v>378</v>
      </c>
      <c r="AB113" s="26">
        <v>-5.45E-2</v>
      </c>
      <c r="AE113" t="s">
        <v>354</v>
      </c>
      <c r="AF113" s="33">
        <v>79032.73</v>
      </c>
      <c r="AG113" s="60">
        <v>76885.649999999994</v>
      </c>
      <c r="AH113" s="60">
        <v>79671.58</v>
      </c>
      <c r="AI113" s="60">
        <v>76745.94</v>
      </c>
      <c r="AJ113" t="s">
        <v>479</v>
      </c>
      <c r="AK113" s="26">
        <v>2.3599999999999999E-2</v>
      </c>
      <c r="AM113" s="58">
        <v>45480</v>
      </c>
      <c r="AN113">
        <v>13.03</v>
      </c>
      <c r="AO113">
        <v>13.45</v>
      </c>
      <c r="AP113">
        <v>14.01</v>
      </c>
      <c r="AQ113">
        <v>12.31</v>
      </c>
      <c r="AR113" t="s">
        <v>586</v>
      </c>
      <c r="AS113" s="26">
        <v>-3.1300000000000001E-2</v>
      </c>
      <c r="AU113" s="58">
        <v>45480</v>
      </c>
      <c r="AV113" s="33">
        <v>34.75</v>
      </c>
      <c r="AW113">
        <v>36.549999999999997</v>
      </c>
      <c r="AX113">
        <v>36.549999999999997</v>
      </c>
      <c r="AY113">
        <v>34.729999999999997</v>
      </c>
      <c r="AZ113" t="s">
        <v>691</v>
      </c>
      <c r="BA113" s="26">
        <v>-4.9200000000000001E-2</v>
      </c>
      <c r="BC113" s="85">
        <v>45480</v>
      </c>
      <c r="BD113" s="84">
        <v>16.66</v>
      </c>
      <c r="BE113">
        <v>17.399999999999999</v>
      </c>
      <c r="BF113">
        <v>18</v>
      </c>
      <c r="BG113">
        <v>16.21</v>
      </c>
      <c r="BH113" t="s">
        <v>797</v>
      </c>
      <c r="BI113" s="26">
        <v>-4.2500000000000003E-2</v>
      </c>
    </row>
    <row r="114" spans="22:61">
      <c r="V114" s="58" t="s">
        <v>379</v>
      </c>
      <c r="W114">
        <v>67.7</v>
      </c>
      <c r="X114">
        <v>66.930000000000007</v>
      </c>
      <c r="Y114">
        <v>70</v>
      </c>
      <c r="Z114">
        <v>63.7</v>
      </c>
      <c r="AA114" t="s">
        <v>380</v>
      </c>
      <c r="AB114" s="26">
        <v>1.15E-2</v>
      </c>
      <c r="AE114" t="s">
        <v>356</v>
      </c>
      <c r="AF114" s="33">
        <v>77209.899999999994</v>
      </c>
      <c r="AG114" s="60">
        <v>77235.31</v>
      </c>
      <c r="AH114" s="60">
        <v>77851.63</v>
      </c>
      <c r="AI114" s="60">
        <v>76802</v>
      </c>
      <c r="AJ114" t="s">
        <v>480</v>
      </c>
      <c r="AK114" s="26">
        <v>2.8E-3</v>
      </c>
      <c r="AM114" t="s">
        <v>354</v>
      </c>
      <c r="AN114">
        <v>13.45</v>
      </c>
      <c r="AO114">
        <v>13.89</v>
      </c>
      <c r="AP114">
        <v>14.66</v>
      </c>
      <c r="AQ114">
        <v>12.95</v>
      </c>
      <c r="AR114" t="s">
        <v>555</v>
      </c>
      <c r="AS114" s="26">
        <v>1.66E-2</v>
      </c>
      <c r="AU114" t="s">
        <v>354</v>
      </c>
      <c r="AV114" s="33">
        <v>36.549999999999997</v>
      </c>
      <c r="AW114">
        <v>35.57</v>
      </c>
      <c r="AX114">
        <v>36.549999999999997</v>
      </c>
      <c r="AY114">
        <v>35.56</v>
      </c>
      <c r="AZ114" t="s">
        <v>692</v>
      </c>
      <c r="BA114" s="26">
        <v>2.7799999999999998E-2</v>
      </c>
      <c r="BC114" s="79" t="s">
        <v>354</v>
      </c>
      <c r="BD114" s="84">
        <v>17.399999999999999</v>
      </c>
      <c r="BE114">
        <v>17.97</v>
      </c>
      <c r="BF114">
        <v>17.97</v>
      </c>
      <c r="BG114">
        <v>16.399999999999999</v>
      </c>
      <c r="BH114" t="s">
        <v>798</v>
      </c>
      <c r="BI114" s="26">
        <v>-5.1000000000000004E-3</v>
      </c>
    </row>
    <row r="115" spans="22:61">
      <c r="V115" s="58">
        <v>45568</v>
      </c>
      <c r="W115">
        <v>66.930000000000007</v>
      </c>
      <c r="X115">
        <v>69</v>
      </c>
      <c r="Y115">
        <v>73.06</v>
      </c>
      <c r="Z115">
        <v>64.44</v>
      </c>
      <c r="AA115" t="s">
        <v>381</v>
      </c>
      <c r="AB115" s="26">
        <v>9.7999999999999997E-3</v>
      </c>
      <c r="AE115" t="s">
        <v>358</v>
      </c>
      <c r="AF115" s="33">
        <v>76992.77</v>
      </c>
      <c r="AG115" s="60">
        <v>76935.41</v>
      </c>
      <c r="AH115" s="60">
        <v>77145.460000000006</v>
      </c>
      <c r="AI115" s="60">
        <v>76296.44</v>
      </c>
      <c r="AJ115" t="s">
        <v>481</v>
      </c>
      <c r="AK115" s="26">
        <v>3.8999999999999998E-3</v>
      </c>
      <c r="AM115" t="s">
        <v>356</v>
      </c>
      <c r="AN115">
        <v>13.23</v>
      </c>
      <c r="AO115">
        <v>12.29</v>
      </c>
      <c r="AP115">
        <v>13.23</v>
      </c>
      <c r="AQ115">
        <v>12.24</v>
      </c>
      <c r="AR115" t="s">
        <v>587</v>
      </c>
      <c r="AS115" s="26">
        <v>7.7100000000000002E-2</v>
      </c>
      <c r="AU115" t="s">
        <v>356</v>
      </c>
      <c r="AV115" s="33">
        <v>35.56</v>
      </c>
      <c r="AW115">
        <v>35.549999999999997</v>
      </c>
      <c r="AX115">
        <v>35.950000000000003</v>
      </c>
      <c r="AY115">
        <v>35</v>
      </c>
      <c r="AZ115" t="s">
        <v>693</v>
      </c>
      <c r="BA115" s="26">
        <v>4.3999999999999997E-2</v>
      </c>
      <c r="BC115" s="79" t="s">
        <v>356</v>
      </c>
      <c r="BD115" s="84">
        <v>17.489999999999998</v>
      </c>
      <c r="BE115">
        <v>16.04</v>
      </c>
      <c r="BF115">
        <v>17.98</v>
      </c>
      <c r="BG115">
        <v>16.04</v>
      </c>
      <c r="BH115" t="s">
        <v>799</v>
      </c>
      <c r="BI115" s="26">
        <v>6.8400000000000002E-2</v>
      </c>
    </row>
    <row r="116" spans="22:61">
      <c r="V116" s="58">
        <v>45354</v>
      </c>
      <c r="W116">
        <v>66.28</v>
      </c>
      <c r="X116">
        <v>73.010000000000005</v>
      </c>
      <c r="Y116">
        <v>74.900000000000006</v>
      </c>
      <c r="Z116">
        <v>65.099999999999994</v>
      </c>
      <c r="AA116" t="s">
        <v>382</v>
      </c>
      <c r="AB116" s="26">
        <v>-0.13750000000000001</v>
      </c>
      <c r="AE116" s="58">
        <v>45541</v>
      </c>
      <c r="AF116" s="33">
        <v>76693.36</v>
      </c>
      <c r="AG116" s="60">
        <v>76583.289999999994</v>
      </c>
      <c r="AH116" s="60">
        <v>76795.31</v>
      </c>
      <c r="AI116" s="60">
        <v>70234.429999999993</v>
      </c>
      <c r="AJ116" t="s">
        <v>482</v>
      </c>
      <c r="AK116" s="26">
        <v>3.6900000000000002E-2</v>
      </c>
      <c r="AM116" t="s">
        <v>358</v>
      </c>
      <c r="AN116">
        <v>12.29</v>
      </c>
      <c r="AO116">
        <v>13.05</v>
      </c>
      <c r="AP116">
        <v>13.05</v>
      </c>
      <c r="AQ116">
        <v>12.2</v>
      </c>
      <c r="AR116" t="s">
        <v>588</v>
      </c>
      <c r="AS116" s="26">
        <v>-5.8500000000000003E-2</v>
      </c>
      <c r="AU116" t="s">
        <v>358</v>
      </c>
      <c r="AV116" s="33">
        <v>34.06</v>
      </c>
      <c r="AW116">
        <v>38.76</v>
      </c>
      <c r="AX116">
        <v>38.76</v>
      </c>
      <c r="AY116">
        <v>32.75</v>
      </c>
      <c r="AZ116" t="s">
        <v>694</v>
      </c>
      <c r="BA116" s="26">
        <v>-9.8000000000000004E-2</v>
      </c>
      <c r="BC116" s="79" t="s">
        <v>358</v>
      </c>
      <c r="BD116" s="84">
        <v>16.37</v>
      </c>
      <c r="BE116">
        <v>16.89</v>
      </c>
      <c r="BF116">
        <v>16.989999999999998</v>
      </c>
      <c r="BG116">
        <v>15.4</v>
      </c>
      <c r="BH116" t="s">
        <v>800</v>
      </c>
      <c r="BI116" s="26">
        <v>-1.15E-2</v>
      </c>
    </row>
    <row r="117" spans="22:61">
      <c r="V117" s="58" t="s">
        <v>383</v>
      </c>
      <c r="W117">
        <v>76.849999999999994</v>
      </c>
      <c r="X117">
        <v>88.09</v>
      </c>
      <c r="Y117">
        <v>88.09</v>
      </c>
      <c r="Z117">
        <v>75.540000000000006</v>
      </c>
      <c r="AA117" t="s">
        <v>384</v>
      </c>
      <c r="AB117" s="26">
        <v>-0.17119999999999999</v>
      </c>
      <c r="AE117" s="58">
        <v>45328</v>
      </c>
      <c r="AF117" s="33">
        <v>73961.31</v>
      </c>
      <c r="AG117" s="60">
        <v>75655.460000000006</v>
      </c>
      <c r="AH117" s="60">
        <v>76009.679999999993</v>
      </c>
      <c r="AI117" s="60">
        <v>73668.73</v>
      </c>
      <c r="AJ117" t="s">
        <v>483</v>
      </c>
      <c r="AK117" s="26">
        <v>-1.9199999999999998E-2</v>
      </c>
      <c r="AM117" s="58">
        <v>45541</v>
      </c>
      <c r="AN117">
        <v>13.05</v>
      </c>
      <c r="AO117">
        <v>11.85</v>
      </c>
      <c r="AP117">
        <v>13.05</v>
      </c>
      <c r="AQ117">
        <v>11.85</v>
      </c>
      <c r="AR117" t="s">
        <v>589</v>
      </c>
      <c r="AS117" s="26">
        <v>8.1500000000000003E-2</v>
      </c>
      <c r="AU117" s="58">
        <v>45541</v>
      </c>
      <c r="AV117" s="33">
        <v>37.76</v>
      </c>
      <c r="AW117">
        <v>37.76</v>
      </c>
      <c r="AX117">
        <v>38.14</v>
      </c>
      <c r="AY117">
        <v>37.39</v>
      </c>
      <c r="AZ117" t="s">
        <v>695</v>
      </c>
      <c r="BA117" s="26">
        <v>0</v>
      </c>
      <c r="BC117" s="85">
        <v>45541</v>
      </c>
      <c r="BD117" s="84">
        <v>16.559999999999999</v>
      </c>
      <c r="BE117">
        <v>17.29</v>
      </c>
      <c r="BF117">
        <v>17.29</v>
      </c>
      <c r="BG117">
        <v>16.2</v>
      </c>
      <c r="BH117" t="s">
        <v>801</v>
      </c>
      <c r="BI117" s="26">
        <v>-2.07E-2</v>
      </c>
    </row>
    <row r="118" spans="22:61">
      <c r="V118" s="58" t="s">
        <v>385</v>
      </c>
      <c r="W118">
        <v>92.72</v>
      </c>
      <c r="X118">
        <v>76.819999999999993</v>
      </c>
      <c r="Y118">
        <v>102.46</v>
      </c>
      <c r="Z118">
        <v>76.819999999999993</v>
      </c>
      <c r="AA118" t="s">
        <v>386</v>
      </c>
      <c r="AB118" s="26">
        <v>0.3276</v>
      </c>
      <c r="AE118" t="s">
        <v>362</v>
      </c>
      <c r="AF118" s="33">
        <v>75410.39</v>
      </c>
      <c r="AG118" s="60">
        <v>73842.960000000006</v>
      </c>
      <c r="AH118" s="60">
        <v>75636.5</v>
      </c>
      <c r="AI118" s="60">
        <v>73762.37</v>
      </c>
      <c r="AJ118" t="s">
        <v>484</v>
      </c>
      <c r="AK118" s="26">
        <v>1.9E-2</v>
      </c>
      <c r="AM118" s="58">
        <v>45328</v>
      </c>
      <c r="AN118">
        <v>12.07</v>
      </c>
      <c r="AO118">
        <v>13.12</v>
      </c>
      <c r="AP118">
        <v>13.12</v>
      </c>
      <c r="AQ118">
        <v>12.07</v>
      </c>
      <c r="AR118" t="s">
        <v>590</v>
      </c>
      <c r="AS118" s="26">
        <v>-8.0299999999999996E-2</v>
      </c>
      <c r="AU118" s="58">
        <v>45328</v>
      </c>
      <c r="AV118" s="33">
        <v>37.76</v>
      </c>
      <c r="AW118">
        <v>38.299999999999997</v>
      </c>
      <c r="AX118">
        <v>39.24</v>
      </c>
      <c r="AY118">
        <v>36.770000000000003</v>
      </c>
      <c r="AZ118" t="s">
        <v>696</v>
      </c>
      <c r="BA118" s="26">
        <v>-3.8699999999999998E-2</v>
      </c>
      <c r="BC118" s="85">
        <v>45328</v>
      </c>
      <c r="BD118" s="84">
        <v>16.91</v>
      </c>
      <c r="BE118">
        <v>17.989999999999998</v>
      </c>
      <c r="BF118">
        <v>17.989999999999998</v>
      </c>
      <c r="BG118">
        <v>15.62</v>
      </c>
      <c r="BH118" t="s">
        <v>802</v>
      </c>
      <c r="BI118" s="26">
        <v>1.44E-2</v>
      </c>
    </row>
    <row r="119" spans="22:61">
      <c r="V119" s="58">
        <v>45598</v>
      </c>
      <c r="W119">
        <v>69.84</v>
      </c>
      <c r="X119">
        <v>49.34</v>
      </c>
      <c r="Y119">
        <v>69.84</v>
      </c>
      <c r="Z119">
        <v>45.6</v>
      </c>
      <c r="AA119" t="s">
        <v>387</v>
      </c>
      <c r="AB119" s="26">
        <v>0.44390000000000002</v>
      </c>
      <c r="AE119" t="s">
        <v>364</v>
      </c>
      <c r="AF119" s="33">
        <v>74005.94</v>
      </c>
      <c r="AG119" s="60">
        <v>72476.649999999994</v>
      </c>
      <c r="AH119" s="60">
        <v>74162.759999999995</v>
      </c>
      <c r="AI119" s="60">
        <v>71866.009999999995</v>
      </c>
      <c r="AJ119" t="s">
        <v>485</v>
      </c>
      <c r="AK119" s="26">
        <v>1.8499999999999999E-2</v>
      </c>
      <c r="AM119" t="s">
        <v>362</v>
      </c>
      <c r="AN119">
        <v>13.12</v>
      </c>
      <c r="AO119">
        <v>13.87</v>
      </c>
      <c r="AP119">
        <v>13.87</v>
      </c>
      <c r="AQ119">
        <v>13.12</v>
      </c>
      <c r="AR119" t="s">
        <v>591</v>
      </c>
      <c r="AS119" s="26">
        <v>-5.9700000000000003E-2</v>
      </c>
      <c r="AU119" t="s">
        <v>362</v>
      </c>
      <c r="AV119" s="33">
        <v>39.28</v>
      </c>
      <c r="AW119">
        <v>39</v>
      </c>
      <c r="AX119">
        <v>40.840000000000003</v>
      </c>
      <c r="AY119">
        <v>37.44</v>
      </c>
      <c r="AZ119" t="s">
        <v>697</v>
      </c>
      <c r="BA119" s="26">
        <v>9.4999999999999998E-3</v>
      </c>
      <c r="BC119" s="79" t="s">
        <v>362</v>
      </c>
      <c r="BD119" s="84">
        <v>16.670000000000002</v>
      </c>
      <c r="BE119">
        <v>17.03</v>
      </c>
      <c r="BF119">
        <v>17.440000000000001</v>
      </c>
      <c r="BG119">
        <v>16.05</v>
      </c>
      <c r="BH119" t="s">
        <v>803</v>
      </c>
      <c r="BI119" s="26">
        <v>-3.2500000000000001E-2</v>
      </c>
    </row>
    <row r="120" spans="22:61">
      <c r="V120" s="58">
        <v>45384</v>
      </c>
      <c r="W120">
        <v>48.37</v>
      </c>
      <c r="X120">
        <v>49.17</v>
      </c>
      <c r="Y120">
        <v>52.8</v>
      </c>
      <c r="Z120">
        <v>45.5</v>
      </c>
      <c r="AA120" t="s">
        <v>304</v>
      </c>
      <c r="AB120" s="26">
        <v>4.1999999999999997E-3</v>
      </c>
      <c r="AE120" s="58">
        <v>45631</v>
      </c>
      <c r="AF120" s="33">
        <v>72664.47</v>
      </c>
      <c r="AG120" s="60">
        <v>74196.679999999993</v>
      </c>
      <c r="AH120" s="60">
        <v>74359.69</v>
      </c>
      <c r="AI120" s="60">
        <v>72334.179999999993</v>
      </c>
      <c r="AJ120" t="s">
        <v>486</v>
      </c>
      <c r="AK120" s="26">
        <v>-1.6400000000000001E-2</v>
      </c>
      <c r="AM120" t="s">
        <v>364</v>
      </c>
      <c r="AN120">
        <v>13.95</v>
      </c>
      <c r="AO120">
        <v>15.8</v>
      </c>
      <c r="AP120">
        <v>15.8</v>
      </c>
      <c r="AQ120">
        <v>13.95</v>
      </c>
      <c r="AR120" t="s">
        <v>592</v>
      </c>
      <c r="AS120" s="26">
        <v>-7.8299999999999995E-2</v>
      </c>
      <c r="AU120" t="s">
        <v>364</v>
      </c>
      <c r="AV120" s="33">
        <v>38.909999999999997</v>
      </c>
      <c r="AW120">
        <v>41.46</v>
      </c>
      <c r="AX120">
        <v>41.46</v>
      </c>
      <c r="AY120">
        <v>35.24</v>
      </c>
      <c r="AZ120" t="s">
        <v>698</v>
      </c>
      <c r="BA120" s="26">
        <v>-1.47E-2</v>
      </c>
      <c r="BC120" s="79" t="s">
        <v>364</v>
      </c>
      <c r="BD120" s="84">
        <v>17.23</v>
      </c>
      <c r="BE120">
        <v>17.97</v>
      </c>
      <c r="BF120">
        <v>17.989999999999998</v>
      </c>
      <c r="BG120">
        <v>16.84</v>
      </c>
      <c r="BH120" t="s">
        <v>804</v>
      </c>
      <c r="BI120" s="26">
        <v>-1.77E-2</v>
      </c>
    </row>
    <row r="121" spans="22:61">
      <c r="V121" s="58" t="s">
        <v>388</v>
      </c>
      <c r="W121">
        <v>48.17</v>
      </c>
      <c r="X121">
        <v>49</v>
      </c>
      <c r="Y121">
        <v>50.98</v>
      </c>
      <c r="Z121">
        <v>46.83</v>
      </c>
      <c r="AA121" t="s">
        <v>389</v>
      </c>
      <c r="AB121" s="26">
        <v>-4.4999999999999997E-3</v>
      </c>
      <c r="AE121" s="58">
        <v>45417</v>
      </c>
      <c r="AF121" s="33">
        <v>73878.149999999994</v>
      </c>
      <c r="AG121" s="60">
        <v>73982.75</v>
      </c>
      <c r="AH121" s="60">
        <v>75111.39</v>
      </c>
      <c r="AI121" s="60">
        <v>73467.73</v>
      </c>
      <c r="AJ121" t="s">
        <v>487</v>
      </c>
      <c r="AK121" s="26">
        <v>2E-3</v>
      </c>
      <c r="AM121" s="58">
        <v>45631</v>
      </c>
      <c r="AN121">
        <v>15.14</v>
      </c>
      <c r="AO121">
        <v>13.52</v>
      </c>
      <c r="AP121">
        <v>15.18</v>
      </c>
      <c r="AQ121">
        <v>12.64</v>
      </c>
      <c r="AR121" t="s">
        <v>593</v>
      </c>
      <c r="AS121" s="26">
        <v>9.8699999999999996E-2</v>
      </c>
      <c r="AU121" s="58">
        <v>45631</v>
      </c>
      <c r="AV121" s="33">
        <v>39.49</v>
      </c>
      <c r="AW121">
        <v>37.96</v>
      </c>
      <c r="AX121">
        <v>41.94</v>
      </c>
      <c r="AY121">
        <v>37.96</v>
      </c>
      <c r="AZ121" t="s">
        <v>699</v>
      </c>
      <c r="BA121" s="26">
        <v>-1.15E-2</v>
      </c>
      <c r="BC121" s="85">
        <v>45631</v>
      </c>
      <c r="BD121" s="84">
        <v>17.54</v>
      </c>
      <c r="BE121">
        <v>18.3</v>
      </c>
      <c r="BF121">
        <v>18.440000000000001</v>
      </c>
      <c r="BG121">
        <v>16.510000000000002</v>
      </c>
      <c r="BH121" t="s">
        <v>805</v>
      </c>
      <c r="BI121" s="26">
        <v>-2.3400000000000001E-2</v>
      </c>
    </row>
    <row r="122" spans="22:61">
      <c r="V122" s="58" t="s">
        <v>390</v>
      </c>
      <c r="W122">
        <v>48.39</v>
      </c>
      <c r="X122">
        <v>47.69</v>
      </c>
      <c r="Y122">
        <v>49.99</v>
      </c>
      <c r="Z122">
        <v>45.03</v>
      </c>
      <c r="AA122" t="s">
        <v>391</v>
      </c>
      <c r="AB122" s="26">
        <v>4.6899999999999997E-2</v>
      </c>
      <c r="AE122" t="s">
        <v>368</v>
      </c>
      <c r="AF122" s="33">
        <v>73730.16</v>
      </c>
      <c r="AG122" s="60">
        <v>73666.509999999995</v>
      </c>
      <c r="AH122" s="60">
        <v>74571.25</v>
      </c>
      <c r="AI122" s="60">
        <v>73227.320000000007</v>
      </c>
      <c r="AJ122" t="s">
        <v>488</v>
      </c>
      <c r="AK122" s="26">
        <v>8.8000000000000005E-3</v>
      </c>
      <c r="AM122" s="58">
        <v>45417</v>
      </c>
      <c r="AN122">
        <v>13.78</v>
      </c>
      <c r="AO122">
        <v>14.83</v>
      </c>
      <c r="AP122">
        <v>14.83</v>
      </c>
      <c r="AQ122">
        <v>13.78</v>
      </c>
      <c r="AR122" t="s">
        <v>594</v>
      </c>
      <c r="AS122" s="26">
        <v>-7.0999999999999994E-2</v>
      </c>
      <c r="AU122" s="58">
        <v>45417</v>
      </c>
      <c r="AV122" s="33">
        <v>39.950000000000003</v>
      </c>
      <c r="AW122">
        <v>38</v>
      </c>
      <c r="AX122">
        <v>42.74</v>
      </c>
      <c r="AY122">
        <v>38</v>
      </c>
      <c r="AZ122" t="s">
        <v>700</v>
      </c>
      <c r="BA122" s="26">
        <v>5.6300000000000003E-2</v>
      </c>
      <c r="BC122" s="85">
        <v>45417</v>
      </c>
      <c r="BD122" s="84">
        <v>17.96</v>
      </c>
      <c r="BE122">
        <v>18.04</v>
      </c>
      <c r="BF122">
        <v>18.64</v>
      </c>
      <c r="BG122">
        <v>16.399999999999999</v>
      </c>
      <c r="BH122" t="s">
        <v>806</v>
      </c>
      <c r="BI122" s="26">
        <v>-1.26E-2</v>
      </c>
    </row>
    <row r="123" spans="22:61">
      <c r="V123" s="58" t="s">
        <v>392</v>
      </c>
      <c r="W123">
        <v>46.22</v>
      </c>
      <c r="X123">
        <v>47.99</v>
      </c>
      <c r="Y123">
        <v>48</v>
      </c>
      <c r="Z123">
        <v>41.8</v>
      </c>
      <c r="AA123" t="s">
        <v>393</v>
      </c>
      <c r="AB123" s="26">
        <v>-9.1999999999999998E-3</v>
      </c>
      <c r="AE123" t="s">
        <v>370</v>
      </c>
      <c r="AF123" s="33">
        <v>73088.33</v>
      </c>
      <c r="AG123" s="60">
        <v>73315.16</v>
      </c>
      <c r="AH123" s="60">
        <v>73905.8</v>
      </c>
      <c r="AI123" s="60">
        <v>71816.460000000006</v>
      </c>
      <c r="AJ123" t="s">
        <v>489</v>
      </c>
      <c r="AK123" s="26">
        <v>-1.5599999999999999E-2</v>
      </c>
      <c r="AM123" t="s">
        <v>368</v>
      </c>
      <c r="AN123">
        <v>14.83</v>
      </c>
      <c r="AO123">
        <v>14.74</v>
      </c>
      <c r="AP123">
        <v>14.83</v>
      </c>
      <c r="AQ123">
        <v>14.52</v>
      </c>
      <c r="AR123" t="s">
        <v>595</v>
      </c>
      <c r="AS123" s="26">
        <v>6.0000000000000001E-3</v>
      </c>
      <c r="AU123" t="s">
        <v>368</v>
      </c>
      <c r="AV123" s="33">
        <v>37.82</v>
      </c>
      <c r="AW123">
        <v>34.65</v>
      </c>
      <c r="AX123">
        <v>38.19</v>
      </c>
      <c r="AY123">
        <v>34.65</v>
      </c>
      <c r="AZ123" t="s">
        <v>701</v>
      </c>
      <c r="BA123" s="26">
        <v>9.1499999999999998E-2</v>
      </c>
      <c r="BC123" s="79" t="s">
        <v>368</v>
      </c>
      <c r="BD123" s="84">
        <v>18.190000000000001</v>
      </c>
      <c r="BE123">
        <v>18.309999999999999</v>
      </c>
      <c r="BF123">
        <v>19.41</v>
      </c>
      <c r="BG123">
        <v>17.62</v>
      </c>
      <c r="BH123" t="s">
        <v>807</v>
      </c>
      <c r="BI123" s="26">
        <v>-1.6199999999999999E-2</v>
      </c>
    </row>
    <row r="124" spans="22:61">
      <c r="V124" s="58">
        <v>45474</v>
      </c>
      <c r="W124">
        <v>46.65</v>
      </c>
      <c r="X124">
        <v>48.51</v>
      </c>
      <c r="Y124">
        <v>48.86</v>
      </c>
      <c r="Z124">
        <v>45.7</v>
      </c>
      <c r="AA124" t="s">
        <v>394</v>
      </c>
      <c r="AB124" s="26">
        <v>-2.1399999999999999E-2</v>
      </c>
      <c r="AE124" t="s">
        <v>372</v>
      </c>
      <c r="AF124" s="33">
        <v>74244.899999999994</v>
      </c>
      <c r="AG124" s="60">
        <v>74555.44</v>
      </c>
      <c r="AH124" s="60">
        <v>75124.28</v>
      </c>
      <c r="AI124" s="60">
        <v>74189.31</v>
      </c>
      <c r="AJ124" t="s">
        <v>490</v>
      </c>
      <c r="AK124" s="26">
        <v>0</v>
      </c>
      <c r="AM124" t="s">
        <v>370</v>
      </c>
      <c r="AN124">
        <v>14.74</v>
      </c>
      <c r="AO124">
        <v>15.18</v>
      </c>
      <c r="AP124">
        <v>15.18</v>
      </c>
      <c r="AQ124">
        <v>14.74</v>
      </c>
      <c r="AR124" t="s">
        <v>596</v>
      </c>
      <c r="AS124" s="26">
        <v>-2.8899999999999999E-2</v>
      </c>
      <c r="AU124" t="s">
        <v>370</v>
      </c>
      <c r="AV124" s="33">
        <v>34.65</v>
      </c>
      <c r="AW124">
        <v>34</v>
      </c>
      <c r="AX124">
        <v>34.67</v>
      </c>
      <c r="AY124">
        <v>33</v>
      </c>
      <c r="AZ124" t="s">
        <v>702</v>
      </c>
      <c r="BA124" s="26">
        <v>1.8800000000000001E-2</v>
      </c>
      <c r="BC124" s="79" t="s">
        <v>370</v>
      </c>
      <c r="BD124" s="84">
        <v>18.489999999999998</v>
      </c>
      <c r="BE124">
        <v>18.600000000000001</v>
      </c>
      <c r="BF124">
        <v>20.5</v>
      </c>
      <c r="BG124">
        <v>18</v>
      </c>
      <c r="BH124" t="s">
        <v>808</v>
      </c>
      <c r="BI124" s="26">
        <v>-3.7499999999999999E-2</v>
      </c>
    </row>
    <row r="125" spans="22:61">
      <c r="AE125" s="58">
        <v>45477</v>
      </c>
      <c r="AF125" s="33">
        <v>74248.22</v>
      </c>
      <c r="AG125" s="60">
        <v>73968.62</v>
      </c>
      <c r="AH125" s="60">
        <v>74501.73</v>
      </c>
      <c r="AI125" s="60">
        <v>73485.119999999995</v>
      </c>
      <c r="AJ125" t="s">
        <v>491</v>
      </c>
      <c r="AK125" s="26">
        <v>8.0999999999999996E-3</v>
      </c>
      <c r="AM125" t="s">
        <v>372</v>
      </c>
      <c r="AN125">
        <v>15.18</v>
      </c>
      <c r="AO125">
        <v>16.239999999999998</v>
      </c>
      <c r="AP125">
        <v>16.239999999999998</v>
      </c>
      <c r="AQ125">
        <v>15.18</v>
      </c>
      <c r="AR125" t="s">
        <v>597</v>
      </c>
      <c r="AS125" s="26">
        <v>-7.2400000000000006E-2</v>
      </c>
      <c r="AU125" t="s">
        <v>372</v>
      </c>
      <c r="AV125" s="33">
        <v>34.01</v>
      </c>
      <c r="AW125">
        <v>36.75</v>
      </c>
      <c r="AX125">
        <v>36.75</v>
      </c>
      <c r="AY125">
        <v>31.56</v>
      </c>
      <c r="AZ125" t="s">
        <v>703</v>
      </c>
      <c r="BA125" s="26">
        <v>-2.8299999999999999E-2</v>
      </c>
      <c r="BC125" s="79" t="s">
        <v>372</v>
      </c>
      <c r="BD125" s="84">
        <v>19.21</v>
      </c>
      <c r="BE125">
        <v>18.010000000000002</v>
      </c>
      <c r="BF125">
        <v>19.5</v>
      </c>
      <c r="BG125">
        <v>17.260000000000002</v>
      </c>
      <c r="BH125" t="s">
        <v>809</v>
      </c>
      <c r="BI125" s="26">
        <v>2.8899999999999999E-2</v>
      </c>
    </row>
    <row r="126" spans="22:61">
      <c r="AE126" t="s">
        <v>375</v>
      </c>
      <c r="AF126" s="33">
        <v>73651.350000000006</v>
      </c>
      <c r="AG126" s="60">
        <v>72396.97</v>
      </c>
      <c r="AH126" s="60">
        <v>74190.31</v>
      </c>
      <c r="AI126" s="60">
        <v>72363.03</v>
      </c>
      <c r="AJ126" t="s">
        <v>492</v>
      </c>
      <c r="AK126" s="26">
        <v>1.1299999999999999E-2</v>
      </c>
      <c r="AM126" s="58">
        <v>45477</v>
      </c>
      <c r="AN126">
        <v>16.37</v>
      </c>
      <c r="AO126">
        <v>17.329999999999998</v>
      </c>
      <c r="AP126">
        <v>17.329999999999998</v>
      </c>
      <c r="AQ126">
        <v>16.37</v>
      </c>
      <c r="AR126" t="s">
        <v>598</v>
      </c>
      <c r="AS126" s="26">
        <v>-7.4399999999999994E-2</v>
      </c>
      <c r="AU126" s="58">
        <v>45477</v>
      </c>
      <c r="AV126" s="33">
        <v>35</v>
      </c>
      <c r="AW126">
        <v>34.33</v>
      </c>
      <c r="AX126">
        <v>35.85</v>
      </c>
      <c r="AY126">
        <v>34.299999999999997</v>
      </c>
      <c r="AZ126" t="s">
        <v>704</v>
      </c>
      <c r="BA126" s="26">
        <v>1.77E-2</v>
      </c>
      <c r="BC126" s="85">
        <v>45477</v>
      </c>
      <c r="BD126" s="84">
        <v>18.670000000000002</v>
      </c>
      <c r="BE126">
        <v>22</v>
      </c>
      <c r="BF126">
        <v>22</v>
      </c>
      <c r="BG126">
        <v>18.32</v>
      </c>
      <c r="BH126" t="s">
        <v>810</v>
      </c>
      <c r="BI126" s="26">
        <v>-0.14399999999999999</v>
      </c>
    </row>
    <row r="127" spans="22:61">
      <c r="AE127" t="s">
        <v>377</v>
      </c>
      <c r="AF127" s="33">
        <v>72831.94</v>
      </c>
      <c r="AG127" s="60">
        <v>72587.3</v>
      </c>
      <c r="AH127" s="60">
        <v>73115.62</v>
      </c>
      <c r="AI127" s="60">
        <v>71674.42</v>
      </c>
      <c r="AJ127" t="s">
        <v>493</v>
      </c>
      <c r="AK127" s="26">
        <v>2.5999999999999999E-3</v>
      </c>
      <c r="AM127" t="s">
        <v>375</v>
      </c>
      <c r="AN127">
        <v>17.68</v>
      </c>
      <c r="AO127">
        <v>15.36</v>
      </c>
      <c r="AP127">
        <v>18.829999999999998</v>
      </c>
      <c r="AQ127">
        <v>15.36</v>
      </c>
      <c r="AR127" t="s">
        <v>577</v>
      </c>
      <c r="AS127" s="26">
        <v>0.18179999999999999</v>
      </c>
      <c r="AU127" t="s">
        <v>375</v>
      </c>
      <c r="AV127" s="33">
        <v>34.39</v>
      </c>
      <c r="AW127">
        <v>33.42</v>
      </c>
      <c r="AX127">
        <v>35.43</v>
      </c>
      <c r="AY127">
        <v>33.42</v>
      </c>
      <c r="AZ127" t="s">
        <v>705</v>
      </c>
      <c r="BA127" s="26">
        <v>8.5000000000000006E-3</v>
      </c>
      <c r="BC127" s="79" t="s">
        <v>375</v>
      </c>
      <c r="BD127" s="84">
        <v>21.81</v>
      </c>
      <c r="BE127">
        <v>14.24</v>
      </c>
      <c r="BF127">
        <v>25.25</v>
      </c>
      <c r="BG127">
        <v>14.23</v>
      </c>
      <c r="BH127" t="s">
        <v>721</v>
      </c>
      <c r="BI127" s="26">
        <v>0.57699999999999996</v>
      </c>
    </row>
    <row r="128" spans="22:61">
      <c r="AE128" t="s">
        <v>379</v>
      </c>
      <c r="AF128" s="33">
        <v>72643.429999999993</v>
      </c>
      <c r="AG128" s="60">
        <v>74175.929999999993</v>
      </c>
      <c r="AH128" s="60">
        <v>74187.350000000006</v>
      </c>
      <c r="AI128" s="60">
        <v>72484.820000000007</v>
      </c>
      <c r="AJ128" t="s">
        <v>494</v>
      </c>
      <c r="AK128" s="26">
        <v>-1.9900000000000001E-2</v>
      </c>
      <c r="AM128" t="s">
        <v>377</v>
      </c>
      <c r="AN128">
        <v>14.96</v>
      </c>
      <c r="AO128">
        <v>16.46</v>
      </c>
      <c r="AP128">
        <v>16.59</v>
      </c>
      <c r="AQ128">
        <v>14.88</v>
      </c>
      <c r="AR128" t="s">
        <v>599</v>
      </c>
      <c r="AS128" s="26">
        <v>-8.3299999999999999E-2</v>
      </c>
      <c r="AU128" t="s">
        <v>377</v>
      </c>
      <c r="AV128" s="33">
        <v>34.1</v>
      </c>
      <c r="AW128">
        <v>34</v>
      </c>
      <c r="AX128">
        <v>35.6</v>
      </c>
      <c r="AY128">
        <v>32.299999999999997</v>
      </c>
      <c r="AZ128" t="s">
        <v>692</v>
      </c>
      <c r="BA128" s="26">
        <v>2.8999999999999998E-3</v>
      </c>
      <c r="BC128" s="79" t="s">
        <v>377</v>
      </c>
      <c r="BD128" s="84">
        <v>13.83</v>
      </c>
      <c r="BE128">
        <v>16.190000000000001</v>
      </c>
      <c r="BF128">
        <v>16.190000000000001</v>
      </c>
      <c r="BG128">
        <v>13.2</v>
      </c>
      <c r="BH128" t="s">
        <v>811</v>
      </c>
      <c r="BI128" s="26">
        <v>-0.13619999999999999</v>
      </c>
    </row>
    <row r="129" spans="31:61">
      <c r="AE129" s="58">
        <v>45568</v>
      </c>
      <c r="AF129" s="33">
        <v>74119.39</v>
      </c>
      <c r="AG129" s="60">
        <v>73903.09</v>
      </c>
      <c r="AH129" s="60">
        <v>74245.17</v>
      </c>
      <c r="AI129" s="60">
        <v>73321.48</v>
      </c>
      <c r="AJ129" t="s">
        <v>495</v>
      </c>
      <c r="AK129" s="26">
        <v>4.1999999999999997E-3</v>
      </c>
      <c r="AM129" t="s">
        <v>379</v>
      </c>
      <c r="AN129">
        <v>16.32</v>
      </c>
      <c r="AO129">
        <v>16.239999999999998</v>
      </c>
      <c r="AP129">
        <v>17.329999999999998</v>
      </c>
      <c r="AQ129">
        <v>15.14</v>
      </c>
      <c r="AR129" t="s">
        <v>577</v>
      </c>
      <c r="AS129" s="26">
        <v>5.4000000000000003E-3</v>
      </c>
      <c r="AU129" t="s">
        <v>379</v>
      </c>
      <c r="AV129" s="33">
        <v>34</v>
      </c>
      <c r="AW129">
        <v>34.24</v>
      </c>
      <c r="AX129">
        <v>34.25</v>
      </c>
      <c r="AY129">
        <v>32.450000000000003</v>
      </c>
      <c r="AZ129" t="s">
        <v>706</v>
      </c>
      <c r="BA129" s="26">
        <v>4.2000000000000003E-2</v>
      </c>
      <c r="BC129" s="79" t="s">
        <v>379</v>
      </c>
      <c r="BD129" s="84">
        <v>16.010000000000002</v>
      </c>
      <c r="BE129">
        <v>16.899999999999999</v>
      </c>
      <c r="BF129">
        <v>16.899999999999999</v>
      </c>
      <c r="BG129">
        <v>15.3</v>
      </c>
      <c r="BH129" t="s">
        <v>812</v>
      </c>
      <c r="BI129" s="26">
        <v>-3.6700000000000003E-2</v>
      </c>
    </row>
    <row r="130" spans="31:61">
      <c r="AE130" s="58">
        <v>45354</v>
      </c>
      <c r="AF130" s="33">
        <v>73806.149999999994</v>
      </c>
      <c r="AG130" s="60">
        <v>73044.81</v>
      </c>
      <c r="AH130" s="60">
        <v>73994.7</v>
      </c>
      <c r="AI130" s="60">
        <v>72099.320000000007</v>
      </c>
      <c r="AJ130" t="s">
        <v>496</v>
      </c>
      <c r="AK130" s="26">
        <v>9.1000000000000004E-3</v>
      </c>
      <c r="AM130" s="58">
        <v>45568</v>
      </c>
      <c r="AN130">
        <v>16.239999999999998</v>
      </c>
      <c r="AO130">
        <v>18.43</v>
      </c>
      <c r="AP130">
        <v>18.47</v>
      </c>
      <c r="AQ130">
        <v>15.49</v>
      </c>
      <c r="AR130" t="s">
        <v>600</v>
      </c>
      <c r="AS130" s="26">
        <v>-0.14149999999999999</v>
      </c>
      <c r="AU130" s="58">
        <v>45568</v>
      </c>
      <c r="AV130" s="33">
        <v>32.630000000000003</v>
      </c>
      <c r="AW130">
        <v>33.83</v>
      </c>
      <c r="AX130">
        <v>35</v>
      </c>
      <c r="AY130">
        <v>32.07</v>
      </c>
      <c r="AZ130" t="s">
        <v>707</v>
      </c>
      <c r="BA130" s="26">
        <v>-6.1000000000000004E-3</v>
      </c>
      <c r="BC130" s="85">
        <v>45568</v>
      </c>
      <c r="BD130" s="84">
        <v>16.62</v>
      </c>
      <c r="BE130">
        <v>18.399999999999999</v>
      </c>
      <c r="BF130">
        <v>18.399999999999999</v>
      </c>
      <c r="BG130">
        <v>15.01</v>
      </c>
      <c r="BH130" t="s">
        <v>813</v>
      </c>
      <c r="BI130" s="26">
        <v>-8.0799999999999997E-2</v>
      </c>
    </row>
    <row r="131" spans="31:61">
      <c r="AE131" t="s">
        <v>383</v>
      </c>
      <c r="AF131" s="33">
        <v>73142.8</v>
      </c>
      <c r="AG131" s="60">
        <v>72627.600000000006</v>
      </c>
      <c r="AH131" s="60">
        <v>73413.929999999993</v>
      </c>
      <c r="AI131" s="60">
        <v>72081.36</v>
      </c>
      <c r="AJ131" t="s">
        <v>497</v>
      </c>
      <c r="AK131" s="26">
        <v>9.9000000000000008E-3</v>
      </c>
      <c r="AM131" s="58">
        <v>45354</v>
      </c>
      <c r="AN131">
        <v>18.91</v>
      </c>
      <c r="AO131">
        <v>22.77</v>
      </c>
      <c r="AP131">
        <v>23.61</v>
      </c>
      <c r="AQ131">
        <v>18.91</v>
      </c>
      <c r="AR131" t="s">
        <v>601</v>
      </c>
      <c r="AS131" s="26">
        <v>-0.13100000000000001</v>
      </c>
      <c r="AU131" s="58">
        <v>45354</v>
      </c>
      <c r="AV131" s="33">
        <v>32.83</v>
      </c>
      <c r="AW131">
        <v>34.5</v>
      </c>
      <c r="AX131">
        <v>37.21</v>
      </c>
      <c r="AY131">
        <v>32.78</v>
      </c>
      <c r="AZ131" t="s">
        <v>708</v>
      </c>
      <c r="BA131" s="26">
        <v>-4.8399999999999999E-2</v>
      </c>
      <c r="BC131" s="85">
        <v>45354</v>
      </c>
      <c r="BD131" s="84">
        <v>18.079999999999998</v>
      </c>
      <c r="BE131">
        <v>19.48</v>
      </c>
      <c r="BF131">
        <v>20.05</v>
      </c>
      <c r="BG131">
        <v>17.5</v>
      </c>
      <c r="BH131" t="s">
        <v>814</v>
      </c>
      <c r="BI131" s="26">
        <v>-5.3400000000000003E-2</v>
      </c>
    </row>
    <row r="132" spans="31:61">
      <c r="AE132" t="s">
        <v>385</v>
      </c>
      <c r="AF132" s="33">
        <v>72426.64</v>
      </c>
      <c r="AG132" s="60">
        <v>71722.31</v>
      </c>
      <c r="AH132" s="60">
        <v>72545.33</v>
      </c>
      <c r="AI132" s="60">
        <v>70809.84</v>
      </c>
      <c r="AJ132" t="s">
        <v>498</v>
      </c>
      <c r="AK132" s="26">
        <v>1.1599999999999999E-2</v>
      </c>
      <c r="AM132" t="s">
        <v>383</v>
      </c>
      <c r="AN132">
        <v>21.77</v>
      </c>
      <c r="AO132">
        <v>20.100000000000001</v>
      </c>
      <c r="AP132">
        <v>25.85</v>
      </c>
      <c r="AQ132">
        <v>19.09</v>
      </c>
      <c r="AR132" t="s">
        <v>602</v>
      </c>
      <c r="AS132" s="26">
        <v>0.1643</v>
      </c>
      <c r="AU132" t="s">
        <v>383</v>
      </c>
      <c r="AV132" s="33">
        <v>34.5</v>
      </c>
      <c r="AW132">
        <v>34.6</v>
      </c>
      <c r="AX132">
        <v>35.5</v>
      </c>
      <c r="AY132">
        <v>32.9</v>
      </c>
      <c r="AZ132" t="s">
        <v>670</v>
      </c>
      <c r="BA132" s="26">
        <v>9.1000000000000004E-3</v>
      </c>
      <c r="BC132" s="79" t="s">
        <v>383</v>
      </c>
      <c r="BD132" s="84">
        <v>19.100000000000001</v>
      </c>
      <c r="BE132">
        <v>19.100000000000001</v>
      </c>
      <c r="BF132">
        <v>19.98</v>
      </c>
      <c r="BG132">
        <v>17.989999999999998</v>
      </c>
      <c r="BH132" t="s">
        <v>815</v>
      </c>
      <c r="BI132" s="26">
        <v>3.7000000000000002E-3</v>
      </c>
    </row>
    <row r="133" spans="31:61">
      <c r="AE133" s="58">
        <v>45598</v>
      </c>
      <c r="AF133" s="33">
        <v>71595.490000000005</v>
      </c>
      <c r="AG133" s="60">
        <v>72269.119999999995</v>
      </c>
      <c r="AH133" s="60">
        <v>72559.210000000006</v>
      </c>
      <c r="AI133" s="60">
        <v>71200.31</v>
      </c>
      <c r="AJ133" t="s">
        <v>499</v>
      </c>
      <c r="AK133" s="26">
        <v>-6.7999999999999996E-3</v>
      </c>
      <c r="AM133" t="s">
        <v>385</v>
      </c>
      <c r="AN133">
        <v>18.690000000000001</v>
      </c>
      <c r="AO133">
        <v>17.64</v>
      </c>
      <c r="AP133">
        <v>19.75</v>
      </c>
      <c r="AQ133">
        <v>15.84</v>
      </c>
      <c r="AR133" t="s">
        <v>603</v>
      </c>
      <c r="AS133" s="26">
        <v>8.6699999999999999E-2</v>
      </c>
      <c r="AU133" t="s">
        <v>385</v>
      </c>
      <c r="AV133" s="33">
        <v>34.19</v>
      </c>
      <c r="AW133">
        <v>34.67</v>
      </c>
      <c r="AX133">
        <v>36.200000000000003</v>
      </c>
      <c r="AY133">
        <v>32.86</v>
      </c>
      <c r="AZ133" t="s">
        <v>709</v>
      </c>
      <c r="BA133" s="26">
        <v>-1.38E-2</v>
      </c>
      <c r="BC133" s="79" t="s">
        <v>385</v>
      </c>
      <c r="BD133" s="84">
        <v>19.03</v>
      </c>
      <c r="BE133">
        <v>19.7</v>
      </c>
      <c r="BF133">
        <v>19.7</v>
      </c>
      <c r="BG133">
        <v>18.45</v>
      </c>
      <c r="BH133" t="s">
        <v>816</v>
      </c>
      <c r="BI133" s="26">
        <v>-1.35E-2</v>
      </c>
    </row>
    <row r="134" spans="31:61">
      <c r="AE134" s="58">
        <v>45384</v>
      </c>
      <c r="AF134" s="33">
        <v>72085.63</v>
      </c>
      <c r="AG134" s="60">
        <v>70968.100000000006</v>
      </c>
      <c r="AH134" s="60">
        <v>73089.399999999994</v>
      </c>
      <c r="AI134" s="60">
        <v>70846.039999999994</v>
      </c>
      <c r="AJ134" t="s">
        <v>500</v>
      </c>
      <c r="AK134" s="26">
        <v>1.9599999999999999E-2</v>
      </c>
      <c r="AM134" s="58">
        <v>45598</v>
      </c>
      <c r="AN134">
        <v>17.2</v>
      </c>
      <c r="AO134">
        <v>17.46</v>
      </c>
      <c r="AP134">
        <v>17.86</v>
      </c>
      <c r="AQ134">
        <v>15.84</v>
      </c>
      <c r="AR134" t="s">
        <v>604</v>
      </c>
      <c r="AS134" s="26">
        <v>-4.3900000000000002E-2</v>
      </c>
      <c r="AU134" s="58">
        <v>45598</v>
      </c>
      <c r="AV134" s="33">
        <v>34.67</v>
      </c>
      <c r="AW134">
        <v>34.119999999999997</v>
      </c>
      <c r="AX134">
        <v>36.31</v>
      </c>
      <c r="AY134">
        <v>33</v>
      </c>
      <c r="AZ134" t="s">
        <v>710</v>
      </c>
      <c r="BA134" s="26">
        <v>1.61E-2</v>
      </c>
      <c r="BC134" s="85">
        <v>45598</v>
      </c>
      <c r="BD134" s="84">
        <v>19.29</v>
      </c>
      <c r="BE134">
        <v>19.5</v>
      </c>
      <c r="BF134">
        <v>20.190000000000001</v>
      </c>
      <c r="BG134">
        <v>17.100000000000001</v>
      </c>
      <c r="BH134" t="s">
        <v>817</v>
      </c>
      <c r="BI134" s="26">
        <v>-1.8800000000000001E-2</v>
      </c>
    </row>
    <row r="135" spans="31:61">
      <c r="AE135" t="s">
        <v>388</v>
      </c>
      <c r="AF135" s="33">
        <v>70700.67</v>
      </c>
      <c r="AG135" s="60">
        <v>71868.2</v>
      </c>
      <c r="AH135" s="60">
        <v>72039.199999999997</v>
      </c>
      <c r="AI135" s="60">
        <v>70001.600000000006</v>
      </c>
      <c r="AJ135" t="s">
        <v>501</v>
      </c>
      <c r="AK135" s="26">
        <v>-1.01E-2</v>
      </c>
      <c r="AM135" s="58">
        <v>45384</v>
      </c>
      <c r="AN135">
        <v>17.989999999999998</v>
      </c>
      <c r="AO135">
        <v>17.68</v>
      </c>
      <c r="AP135">
        <v>20.05</v>
      </c>
      <c r="AQ135">
        <v>17.29</v>
      </c>
      <c r="AR135" t="s">
        <v>605</v>
      </c>
      <c r="AS135" s="26">
        <v>3.5400000000000001E-2</v>
      </c>
      <c r="AU135" s="58">
        <v>45384</v>
      </c>
      <c r="AV135" s="33">
        <v>34.119999999999997</v>
      </c>
      <c r="AW135">
        <v>34.950000000000003</v>
      </c>
      <c r="AX135">
        <v>36.590000000000003</v>
      </c>
      <c r="AY135">
        <v>32.9</v>
      </c>
      <c r="AZ135" t="s">
        <v>711</v>
      </c>
      <c r="BA135" s="26">
        <v>-1.1299999999999999E-2</v>
      </c>
      <c r="BC135" s="85">
        <v>45384</v>
      </c>
      <c r="BD135" s="84">
        <v>19.66</v>
      </c>
      <c r="BE135">
        <v>21.24</v>
      </c>
      <c r="BF135">
        <v>21.73</v>
      </c>
      <c r="BG135">
        <v>19.02</v>
      </c>
      <c r="BH135" t="s">
        <v>818</v>
      </c>
      <c r="BI135" s="26">
        <v>-5.57E-2</v>
      </c>
    </row>
    <row r="136" spans="31:61">
      <c r="AE136" t="s">
        <v>390</v>
      </c>
      <c r="AF136" s="33">
        <v>71423.649999999994</v>
      </c>
      <c r="AG136" s="60">
        <v>73049.87</v>
      </c>
      <c r="AH136" s="60">
        <v>73427.59</v>
      </c>
      <c r="AI136" s="60">
        <v>70665.5</v>
      </c>
      <c r="AJ136" t="s">
        <v>502</v>
      </c>
      <c r="AK136" s="26">
        <v>-1.5800000000000002E-2</v>
      </c>
      <c r="AM136" t="s">
        <v>388</v>
      </c>
      <c r="AN136">
        <v>17.38</v>
      </c>
      <c r="AO136">
        <v>15.18</v>
      </c>
      <c r="AP136">
        <v>18.12</v>
      </c>
      <c r="AQ136">
        <v>14.22</v>
      </c>
      <c r="AR136" t="s">
        <v>606</v>
      </c>
      <c r="AS136" s="26">
        <v>0.2414</v>
      </c>
      <c r="AU136" t="s">
        <v>388</v>
      </c>
      <c r="AV136" s="33">
        <v>34.51</v>
      </c>
      <c r="AW136">
        <v>34.68</v>
      </c>
      <c r="AX136">
        <v>36.299999999999997</v>
      </c>
      <c r="AY136">
        <v>32.869999999999997</v>
      </c>
      <c r="AZ136" t="s">
        <v>712</v>
      </c>
      <c r="BA136" s="26">
        <v>-2.3E-3</v>
      </c>
      <c r="BC136" s="79" t="s">
        <v>388</v>
      </c>
      <c r="BD136" s="84">
        <v>20.82</v>
      </c>
      <c r="BE136">
        <v>20.7</v>
      </c>
      <c r="BF136">
        <v>22.5</v>
      </c>
      <c r="BG136">
        <v>19.62</v>
      </c>
      <c r="BH136" t="s">
        <v>819</v>
      </c>
      <c r="BI136" s="26">
        <v>5.7999999999999996E-3</v>
      </c>
    </row>
    <row r="137" spans="31:61">
      <c r="AE137" t="s">
        <v>392</v>
      </c>
      <c r="AF137" s="33">
        <v>72568.45</v>
      </c>
      <c r="AG137" s="60">
        <v>72113.25</v>
      </c>
      <c r="AH137" s="60">
        <v>72720.960000000006</v>
      </c>
      <c r="AI137" s="60">
        <v>71110.98</v>
      </c>
      <c r="AJ137" t="s">
        <v>503</v>
      </c>
      <c r="AK137" s="26">
        <v>7.4999999999999997E-3</v>
      </c>
      <c r="AM137" t="s">
        <v>390</v>
      </c>
      <c r="AN137">
        <v>14</v>
      </c>
      <c r="AO137">
        <v>13.34</v>
      </c>
      <c r="AP137">
        <v>14.04</v>
      </c>
      <c r="AQ137">
        <v>12.77</v>
      </c>
      <c r="AR137" t="s">
        <v>607</v>
      </c>
      <c r="AS137" s="26">
        <v>7.0499999999999993E-2</v>
      </c>
      <c r="AU137" t="s">
        <v>390</v>
      </c>
      <c r="AV137" s="33">
        <v>34.590000000000003</v>
      </c>
      <c r="AW137">
        <v>36</v>
      </c>
      <c r="AX137">
        <v>36.25</v>
      </c>
      <c r="AY137">
        <v>32.869999999999997</v>
      </c>
      <c r="AZ137" t="s">
        <v>713</v>
      </c>
      <c r="BA137" s="26">
        <v>1.1999999999999999E-3</v>
      </c>
      <c r="BC137" s="79" t="s">
        <v>390</v>
      </c>
      <c r="BD137" s="84">
        <v>20.7</v>
      </c>
      <c r="BE137">
        <v>21.5</v>
      </c>
      <c r="BF137">
        <v>24.5</v>
      </c>
      <c r="BG137">
        <v>20.010000000000002</v>
      </c>
      <c r="BH137" t="s">
        <v>820</v>
      </c>
      <c r="BI137" s="26">
        <v>3.3999999999999998E-3</v>
      </c>
    </row>
    <row r="138" spans="31:61">
      <c r="AE138" s="58">
        <v>45474</v>
      </c>
      <c r="AF138" s="33">
        <v>72026.149999999994</v>
      </c>
      <c r="AG138" s="60">
        <v>72218.39</v>
      </c>
      <c r="AH138" s="60">
        <v>72561.91</v>
      </c>
      <c r="AI138" s="60">
        <v>71303.97</v>
      </c>
      <c r="AJ138" t="s">
        <v>504</v>
      </c>
      <c r="AK138" s="26">
        <v>-3.0000000000000001E-3</v>
      </c>
      <c r="AM138" t="s">
        <v>392</v>
      </c>
      <c r="AN138">
        <v>13.08</v>
      </c>
      <c r="AO138">
        <v>13.52</v>
      </c>
      <c r="AP138">
        <v>14.17</v>
      </c>
      <c r="AQ138">
        <v>12.37</v>
      </c>
      <c r="AR138" t="s">
        <v>555</v>
      </c>
      <c r="AS138" s="26">
        <v>1.3599999999999999E-2</v>
      </c>
      <c r="AU138" t="s">
        <v>392</v>
      </c>
      <c r="AV138" s="33">
        <v>34.549999999999997</v>
      </c>
      <c r="AW138">
        <v>36</v>
      </c>
      <c r="AX138">
        <v>37.1</v>
      </c>
      <c r="AY138">
        <v>32.82</v>
      </c>
      <c r="AZ138" t="s">
        <v>714</v>
      </c>
      <c r="BA138" s="26">
        <v>-2.24E-2</v>
      </c>
      <c r="BC138" s="79" t="s">
        <v>392</v>
      </c>
      <c r="BD138" s="84">
        <v>20.63</v>
      </c>
      <c r="BE138">
        <v>20.3</v>
      </c>
      <c r="BF138">
        <v>22</v>
      </c>
      <c r="BG138">
        <v>18</v>
      </c>
      <c r="BH138" t="s">
        <v>821</v>
      </c>
      <c r="BI138" s="26">
        <v>5.0900000000000001E-2</v>
      </c>
    </row>
    <row r="139" spans="31:61">
      <c r="AM139" s="58">
        <v>45474</v>
      </c>
      <c r="AN139">
        <v>12.9</v>
      </c>
      <c r="AO139">
        <v>12.95</v>
      </c>
      <c r="AP139">
        <v>12.95</v>
      </c>
      <c r="AQ139">
        <v>12.59</v>
      </c>
      <c r="AR139" t="s">
        <v>608</v>
      </c>
      <c r="AS139">
        <v>-0.34</v>
      </c>
      <c r="AU139" s="58">
        <v>45474</v>
      </c>
      <c r="AV139" s="33">
        <v>35.340000000000003</v>
      </c>
      <c r="AW139">
        <v>35.409999999999997</v>
      </c>
      <c r="AX139">
        <v>37.11</v>
      </c>
      <c r="AY139">
        <v>33.01</v>
      </c>
      <c r="AZ139" t="s">
        <v>715</v>
      </c>
      <c r="BA139">
        <v>2.29</v>
      </c>
      <c r="BC139" s="85">
        <v>45474</v>
      </c>
      <c r="BD139" s="84">
        <v>19.63</v>
      </c>
      <c r="BE139">
        <v>16.34</v>
      </c>
      <c r="BF139">
        <v>20.8</v>
      </c>
      <c r="BG139">
        <v>15.61</v>
      </c>
      <c r="BH139" t="s">
        <v>822</v>
      </c>
      <c r="BI139" s="26">
        <v>0.22309999999999999</v>
      </c>
    </row>
  </sheetData>
  <mergeCells count="1">
    <mergeCell ref="AE26:AJ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9BA4-8013-4FA9-8D88-2C4CCF9A3FCB}">
  <sheetPr>
    <tabColor theme="4" tint="-0.499984740745262"/>
  </sheetPr>
  <dimension ref="B1:V120"/>
  <sheetViews>
    <sheetView showGridLines="0" topLeftCell="A7" workbookViewId="0">
      <selection activeCell="K15" sqref="K15"/>
    </sheetView>
  </sheetViews>
  <sheetFormatPr defaultRowHeight="14.4"/>
  <cols>
    <col min="1" max="1" width="1.88671875" customWidth="1"/>
    <col min="2" max="2" width="10.5546875" bestFit="1" customWidth="1"/>
    <col min="4" max="4" width="10.88671875" customWidth="1"/>
    <col min="6" max="6" width="10.5546875" bestFit="1" customWidth="1"/>
    <col min="10" max="10" width="17.5546875" bestFit="1" customWidth="1"/>
  </cols>
  <sheetData>
    <row r="1" spans="2:15"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2:15"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2:15"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2:15">
      <c r="B4" s="80"/>
      <c r="C4" s="80"/>
      <c r="D4" s="80"/>
      <c r="E4" s="80"/>
      <c r="F4" s="80"/>
      <c r="G4" s="80"/>
      <c r="H4" s="80"/>
      <c r="I4" s="80"/>
      <c r="J4" s="80"/>
      <c r="K4" s="80"/>
    </row>
    <row r="8" spans="2:15">
      <c r="B8" s="82" t="s">
        <v>215</v>
      </c>
      <c r="C8" s="82"/>
      <c r="D8" s="82"/>
      <c r="E8" s="82"/>
    </row>
    <row r="10" spans="2:15">
      <c r="B10" s="83" t="s">
        <v>823</v>
      </c>
      <c r="C10" s="83"/>
      <c r="D10" s="83"/>
      <c r="F10" s="83" t="s">
        <v>213</v>
      </c>
      <c r="G10" s="83"/>
      <c r="H10" s="83"/>
    </row>
    <row r="12" spans="2:15">
      <c r="B12" s="49" t="s">
        <v>70</v>
      </c>
      <c r="C12" s="49" t="s">
        <v>71</v>
      </c>
      <c r="D12" s="50" t="s">
        <v>72</v>
      </c>
      <c r="E12" s="4"/>
      <c r="F12" s="49" t="s">
        <v>70</v>
      </c>
      <c r="G12" s="49" t="s">
        <v>71</v>
      </c>
      <c r="H12" s="50" t="s">
        <v>72</v>
      </c>
      <c r="J12" s="83" t="s">
        <v>73</v>
      </c>
      <c r="K12" s="83"/>
      <c r="N12" t="s">
        <v>188</v>
      </c>
    </row>
    <row r="13" spans="2:15" ht="15" thickBot="1">
      <c r="B13" t="s">
        <v>222</v>
      </c>
      <c r="C13" s="33">
        <v>41.46</v>
      </c>
      <c r="F13" t="s">
        <v>222</v>
      </c>
      <c r="G13" s="33">
        <v>82269.78</v>
      </c>
    </row>
    <row r="14" spans="2:15">
      <c r="B14" t="s">
        <v>224</v>
      </c>
      <c r="C14" s="33">
        <v>43.52</v>
      </c>
      <c r="D14" s="34">
        <f>C14/C13-1</f>
        <v>4.9686444766039672E-2</v>
      </c>
      <c r="F14" t="s">
        <v>224</v>
      </c>
      <c r="G14" s="33">
        <v>81537.7</v>
      </c>
      <c r="H14" s="34">
        <f>G14/G13-1</f>
        <v>-8.8985287185646689E-3</v>
      </c>
      <c r="K14" t="s">
        <v>52</v>
      </c>
      <c r="N14" s="57" t="s">
        <v>189</v>
      </c>
      <c r="O14" s="57"/>
    </row>
    <row r="15" spans="2:15">
      <c r="B15" s="58">
        <v>46327</v>
      </c>
      <c r="C15" s="33">
        <v>42.87</v>
      </c>
      <c r="D15" s="34">
        <f t="shared" ref="D15:D78" si="0">C15/C14-1</f>
        <v>-1.4935661764706065E-2</v>
      </c>
      <c r="F15" s="58">
        <v>46327</v>
      </c>
      <c r="G15" s="33">
        <v>83570.350000000006</v>
      </c>
      <c r="H15" s="34">
        <f t="shared" ref="H15:H78" si="1">G15/G14-1</f>
        <v>2.4928959242166648E-2</v>
      </c>
      <c r="J15" s="51" t="s">
        <v>74</v>
      </c>
      <c r="K15" s="33">
        <f>O29</f>
        <v>-3.3964803938350718E-2</v>
      </c>
      <c r="N15" s="54" t="s">
        <v>190</v>
      </c>
      <c r="O15" s="54">
        <v>7.5600209492537101E-3</v>
      </c>
    </row>
    <row r="16" spans="2:15">
      <c r="B16" s="58">
        <v>46113</v>
      </c>
      <c r="C16" s="33">
        <v>44.09</v>
      </c>
      <c r="D16" s="34">
        <f t="shared" si="0"/>
        <v>2.8458129227898477E-2</v>
      </c>
      <c r="F16" s="58">
        <v>46113</v>
      </c>
      <c r="G16" s="33">
        <v>83576.240000000005</v>
      </c>
      <c r="H16" s="34">
        <f t="shared" si="1"/>
        <v>7.0479542086498981E-5</v>
      </c>
      <c r="J16" t="s">
        <v>75</v>
      </c>
      <c r="K16" s="34">
        <v>0.75</v>
      </c>
      <c r="N16" s="54" t="s">
        <v>191</v>
      </c>
      <c r="O16" s="54">
        <v>5.7153916753154963E-5</v>
      </c>
    </row>
    <row r="17" spans="2:22">
      <c r="B17" t="s">
        <v>228</v>
      </c>
      <c r="C17" s="33">
        <v>37.11</v>
      </c>
      <c r="D17" s="34">
        <f t="shared" si="0"/>
        <v>-0.15831254252665006</v>
      </c>
      <c r="F17" t="s">
        <v>228</v>
      </c>
      <c r="G17" s="33">
        <v>85762.01</v>
      </c>
      <c r="H17" s="34">
        <f t="shared" si="1"/>
        <v>2.6153007122598382E-2</v>
      </c>
      <c r="K17" s="33"/>
      <c r="N17" s="54" t="s">
        <v>192</v>
      </c>
      <c r="O17" s="54">
        <v>-9.4661112840396713E-3</v>
      </c>
    </row>
    <row r="18" spans="2:22">
      <c r="B18" t="s">
        <v>230</v>
      </c>
      <c r="C18" s="33">
        <v>36.6</v>
      </c>
      <c r="D18" s="34">
        <f t="shared" si="0"/>
        <v>-1.3742926434923142E-2</v>
      </c>
      <c r="F18" t="s">
        <v>230</v>
      </c>
      <c r="G18" s="33">
        <v>85041.45</v>
      </c>
      <c r="H18" s="34">
        <f t="shared" si="1"/>
        <v>-8.4018553203218937E-3</v>
      </c>
      <c r="J18" t="s">
        <v>76</v>
      </c>
      <c r="K18" s="33">
        <v>1</v>
      </c>
      <c r="N18" s="54" t="s">
        <v>193</v>
      </c>
      <c r="O18" s="54">
        <v>7.4901478122031115E-2</v>
      </c>
    </row>
    <row r="19" spans="2:22" ht="15" thickBot="1">
      <c r="B19" t="s">
        <v>232</v>
      </c>
      <c r="C19" s="33">
        <v>32.19</v>
      </c>
      <c r="D19" s="34">
        <f t="shared" si="0"/>
        <v>-0.12049180327868858</v>
      </c>
      <c r="F19" t="s">
        <v>232</v>
      </c>
      <c r="G19" s="33">
        <v>84929.36</v>
      </c>
      <c r="H19" s="34">
        <f t="shared" si="1"/>
        <v>-1.3180631327428527E-3</v>
      </c>
      <c r="J19" t="s">
        <v>77</v>
      </c>
      <c r="K19" s="34">
        <v>0.25</v>
      </c>
      <c r="N19" s="55" t="s">
        <v>194</v>
      </c>
      <c r="O19" s="55">
        <v>107</v>
      </c>
    </row>
    <row r="20" spans="2:22">
      <c r="B20" s="58">
        <v>45850</v>
      </c>
      <c r="C20" s="33">
        <v>28.43</v>
      </c>
      <c r="D20" s="34">
        <f t="shared" si="0"/>
        <v>-0.11680646163404784</v>
      </c>
      <c r="F20" s="58">
        <v>45850</v>
      </c>
      <c r="G20" s="33">
        <v>85267.66</v>
      </c>
      <c r="H20" s="34">
        <f t="shared" si="1"/>
        <v>3.9833103652258117E-3</v>
      </c>
    </row>
    <row r="21" spans="2:22" ht="15" thickBot="1">
      <c r="B21" t="s">
        <v>235</v>
      </c>
      <c r="C21" s="33">
        <v>28.96</v>
      </c>
      <c r="D21" s="34">
        <f t="shared" si="0"/>
        <v>1.8642279282448104E-2</v>
      </c>
      <c r="F21" t="s">
        <v>235</v>
      </c>
      <c r="G21" s="33">
        <v>85712.37</v>
      </c>
      <c r="H21" s="34">
        <f t="shared" si="1"/>
        <v>5.2154591787787474E-3</v>
      </c>
      <c r="J21" s="52" t="s">
        <v>78</v>
      </c>
      <c r="K21" s="53">
        <f>(K15*K16)+(K18*K19)</f>
        <v>0.22452639704623695</v>
      </c>
      <c r="N21" t="s">
        <v>195</v>
      </c>
    </row>
    <row r="22" spans="2:22">
      <c r="B22" t="s">
        <v>237</v>
      </c>
      <c r="C22" s="33">
        <v>27.52</v>
      </c>
      <c r="D22" s="34">
        <f t="shared" si="0"/>
        <v>-4.9723756906077443E-2</v>
      </c>
      <c r="F22" t="s">
        <v>237</v>
      </c>
      <c r="G22" s="33">
        <v>85706.67</v>
      </c>
      <c r="H22" s="34">
        <f t="shared" si="1"/>
        <v>-6.6501486308156998E-5</v>
      </c>
      <c r="N22" s="56"/>
      <c r="O22" s="56" t="s">
        <v>200</v>
      </c>
      <c r="P22" s="56" t="s">
        <v>201</v>
      </c>
      <c r="Q22" s="56" t="s">
        <v>202</v>
      </c>
      <c r="R22" s="56" t="s">
        <v>203</v>
      </c>
      <c r="S22" s="56" t="s">
        <v>204</v>
      </c>
    </row>
    <row r="23" spans="2:22">
      <c r="B23" t="s">
        <v>239</v>
      </c>
      <c r="C23" s="33">
        <v>26.19</v>
      </c>
      <c r="D23" s="34">
        <f t="shared" si="0"/>
        <v>-4.8328488372092915E-2</v>
      </c>
      <c r="F23" t="s">
        <v>239</v>
      </c>
      <c r="G23" s="33">
        <v>85231.92</v>
      </c>
      <c r="H23" s="34">
        <f t="shared" si="1"/>
        <v>-5.5392421616660137E-3</v>
      </c>
      <c r="N23" s="54" t="s">
        <v>196</v>
      </c>
      <c r="O23" s="54">
        <v>1</v>
      </c>
      <c r="P23" s="54">
        <v>3.3669827843918476E-5</v>
      </c>
      <c r="Q23" s="54">
        <v>3.3669827843918476E-5</v>
      </c>
      <c r="R23" s="54">
        <v>6.0015042685566296E-3</v>
      </c>
      <c r="S23" s="54">
        <v>0.93839758383442828</v>
      </c>
    </row>
    <row r="24" spans="2:22">
      <c r="B24" s="58">
        <v>45911</v>
      </c>
      <c r="C24" s="33">
        <v>25.45</v>
      </c>
      <c r="D24" s="34">
        <f t="shared" si="0"/>
        <v>-2.8255059182894282E-2</v>
      </c>
      <c r="F24" s="58">
        <v>45911</v>
      </c>
      <c r="G24" s="33">
        <v>84562.78</v>
      </c>
      <c r="H24" s="34">
        <f t="shared" si="1"/>
        <v>-7.8508145774494054E-3</v>
      </c>
      <c r="N24" s="54" t="s">
        <v>197</v>
      </c>
      <c r="O24" s="54">
        <v>105</v>
      </c>
      <c r="P24" s="54">
        <v>0.58907429961083613</v>
      </c>
      <c r="Q24" s="54">
        <v>5.610231424865106E-3</v>
      </c>
      <c r="R24" s="54"/>
      <c r="S24" s="54"/>
    </row>
    <row r="25" spans="2:22" ht="15" thickBot="1">
      <c r="B25" s="58">
        <v>45699</v>
      </c>
      <c r="C25" s="33">
        <v>24.92</v>
      </c>
      <c r="D25" s="34">
        <f t="shared" si="0"/>
        <v>-2.0825147347740547E-2</v>
      </c>
      <c r="F25" s="58">
        <v>45699</v>
      </c>
      <c r="G25" s="33">
        <v>83216.28</v>
      </c>
      <c r="H25" s="34">
        <f t="shared" si="1"/>
        <v>-1.5923081052917176E-2</v>
      </c>
      <c r="N25" s="55" t="s">
        <v>198</v>
      </c>
      <c r="O25" s="55">
        <v>106</v>
      </c>
      <c r="P25" s="55">
        <v>0.58910796943868005</v>
      </c>
      <c r="Q25" s="55"/>
      <c r="R25" s="55"/>
      <c r="S25" s="55"/>
    </row>
    <row r="26" spans="2:22" ht="15" thickBot="1">
      <c r="B26" t="s">
        <v>243</v>
      </c>
      <c r="C26" s="33">
        <v>23.97</v>
      </c>
      <c r="D26" s="34">
        <f t="shared" si="0"/>
        <v>-3.8121990369181513E-2</v>
      </c>
      <c r="F26" t="s">
        <v>243</v>
      </c>
      <c r="G26" s="33">
        <v>83938.71</v>
      </c>
      <c r="H26" s="34">
        <f t="shared" si="1"/>
        <v>8.6813541773318459E-3</v>
      </c>
    </row>
    <row r="27" spans="2:22">
      <c r="B27" t="s">
        <v>245</v>
      </c>
      <c r="C27" s="33">
        <v>23.47</v>
      </c>
      <c r="D27" s="34">
        <f t="shared" si="0"/>
        <v>-2.0859407592824342E-2</v>
      </c>
      <c r="F27" t="s">
        <v>245</v>
      </c>
      <c r="G27" s="33">
        <v>84211.88</v>
      </c>
      <c r="H27" s="34">
        <f t="shared" si="1"/>
        <v>3.2543983580399782E-3</v>
      </c>
      <c r="N27" s="56"/>
      <c r="O27" s="56" t="s">
        <v>205</v>
      </c>
      <c r="P27" s="56" t="s">
        <v>193</v>
      </c>
      <c r="Q27" s="56" t="s">
        <v>206</v>
      </c>
      <c r="R27" s="56" t="s">
        <v>207</v>
      </c>
      <c r="S27" s="56" t="s">
        <v>208</v>
      </c>
      <c r="T27" s="56" t="s">
        <v>209</v>
      </c>
      <c r="U27" s="56" t="s">
        <v>210</v>
      </c>
      <c r="V27" s="56" t="s">
        <v>211</v>
      </c>
    </row>
    <row r="28" spans="2:22">
      <c r="B28" s="58">
        <v>46001</v>
      </c>
      <c r="C28" s="33">
        <v>21.74</v>
      </c>
      <c r="D28" s="34">
        <f t="shared" si="0"/>
        <v>-7.3711120579463163E-2</v>
      </c>
      <c r="F28" s="58">
        <v>46001</v>
      </c>
      <c r="G28" s="33">
        <v>83952.19</v>
      </c>
      <c r="H28" s="34">
        <f t="shared" si="1"/>
        <v>-3.083769178410467E-3</v>
      </c>
      <c r="N28" s="54" t="s">
        <v>199</v>
      </c>
      <c r="O28" s="54">
        <v>-3.9774271123997652E-3</v>
      </c>
      <c r="P28" s="54">
        <v>7.2572162999674141E-3</v>
      </c>
      <c r="Q28" s="54">
        <v>-0.54806511863476148</v>
      </c>
      <c r="R28" s="54">
        <v>0.58481048897191312</v>
      </c>
      <c r="S28" s="54">
        <v>-1.8367146437209526E-2</v>
      </c>
      <c r="T28" s="54">
        <v>1.0412292212409996E-2</v>
      </c>
      <c r="U28" s="54">
        <v>-1.8367146437209526E-2</v>
      </c>
      <c r="V28" s="54">
        <v>1.0412292212409996E-2</v>
      </c>
    </row>
    <row r="29" spans="2:22" ht="15" thickBot="1">
      <c r="B29" s="58">
        <v>45787</v>
      </c>
      <c r="C29" s="33">
        <v>20.27</v>
      </c>
      <c r="D29" s="34">
        <f t="shared" si="0"/>
        <v>-6.7617295308187608E-2</v>
      </c>
      <c r="F29" s="58">
        <v>45787</v>
      </c>
      <c r="G29" s="33">
        <v>82500.820000000007</v>
      </c>
      <c r="H29" s="34">
        <f t="shared" si="1"/>
        <v>-1.7288054069822256E-2</v>
      </c>
      <c r="N29" s="55" t="s">
        <v>212</v>
      </c>
      <c r="O29" s="55">
        <v>-3.3964803938350718E-2</v>
      </c>
      <c r="P29" s="55">
        <v>0.4384287772604486</v>
      </c>
      <c r="Q29" s="55">
        <v>-7.7469376327398157E-2</v>
      </c>
      <c r="R29" s="55">
        <v>0.93839758383443128</v>
      </c>
      <c r="S29" s="55">
        <v>-0.9032880799616545</v>
      </c>
      <c r="T29" s="55">
        <v>0.83535847208495317</v>
      </c>
      <c r="U29" s="55">
        <v>-0.9032880799616545</v>
      </c>
      <c r="V29" s="55">
        <v>0.83535847208495317</v>
      </c>
    </row>
    <row r="30" spans="2:22">
      <c r="B30" t="s">
        <v>249</v>
      </c>
      <c r="C30" s="33">
        <v>20.86</v>
      </c>
      <c r="D30" s="34">
        <f t="shared" si="0"/>
        <v>2.9107054760730167E-2</v>
      </c>
      <c r="F30" t="s">
        <v>249</v>
      </c>
      <c r="G30" s="33">
        <v>81207.17</v>
      </c>
      <c r="H30" s="34">
        <f t="shared" si="1"/>
        <v>-1.5680450206434382E-2</v>
      </c>
    </row>
    <row r="31" spans="2:22">
      <c r="B31" t="s">
        <v>251</v>
      </c>
      <c r="C31" s="33">
        <v>19.559999999999999</v>
      </c>
      <c r="D31" s="34">
        <f t="shared" si="0"/>
        <v>-6.2320230105465058E-2</v>
      </c>
      <c r="F31" t="s">
        <v>251</v>
      </c>
      <c r="G31" s="33">
        <v>80426.460000000006</v>
      </c>
      <c r="H31" s="34">
        <f t="shared" si="1"/>
        <v>-9.613806268584324E-3</v>
      </c>
    </row>
    <row r="32" spans="2:22">
      <c r="B32" t="s">
        <v>253</v>
      </c>
      <c r="C32" s="33">
        <v>21.12</v>
      </c>
      <c r="D32" s="34">
        <f t="shared" si="0"/>
        <v>7.9754601226994071E-2</v>
      </c>
      <c r="F32" t="s">
        <v>253</v>
      </c>
      <c r="G32" s="33">
        <v>82626.23</v>
      </c>
      <c r="H32" s="34">
        <f t="shared" si="1"/>
        <v>2.7351321940565221E-2</v>
      </c>
    </row>
    <row r="33" spans="2:8">
      <c r="B33" s="58">
        <v>45847</v>
      </c>
      <c r="C33" s="33">
        <v>21.14</v>
      </c>
      <c r="D33" s="34">
        <f t="shared" si="0"/>
        <v>9.4696969696972388E-4</v>
      </c>
      <c r="F33" s="58">
        <v>45847</v>
      </c>
      <c r="G33" s="33">
        <v>81904.7</v>
      </c>
      <c r="H33" s="34">
        <f t="shared" si="1"/>
        <v>-8.7324569933784346E-3</v>
      </c>
    </row>
    <row r="34" spans="2:8">
      <c r="B34" t="s">
        <v>256</v>
      </c>
      <c r="C34" s="33">
        <v>20.69</v>
      </c>
      <c r="D34" s="34">
        <f t="shared" si="0"/>
        <v>-2.1286660359507992E-2</v>
      </c>
      <c r="F34" t="s">
        <v>256</v>
      </c>
      <c r="G34" s="33">
        <v>80710.759999999995</v>
      </c>
      <c r="H34" s="34">
        <f t="shared" si="1"/>
        <v>-1.4577185436244866E-2</v>
      </c>
    </row>
    <row r="35" spans="2:8">
      <c r="B35" t="s">
        <v>258</v>
      </c>
      <c r="C35" s="33">
        <v>21.13</v>
      </c>
      <c r="D35" s="34">
        <f t="shared" si="0"/>
        <v>2.1266312228129358E-2</v>
      </c>
      <c r="F35" t="s">
        <v>258</v>
      </c>
      <c r="G35" s="33">
        <v>79809.649999999994</v>
      </c>
      <c r="H35" s="34">
        <f t="shared" si="1"/>
        <v>-1.116468237940027E-2</v>
      </c>
    </row>
    <row r="36" spans="2:8">
      <c r="B36" t="s">
        <v>260</v>
      </c>
      <c r="C36" s="33">
        <v>21.12</v>
      </c>
      <c r="D36" s="34">
        <f t="shared" si="0"/>
        <v>-4.732607666823041E-4</v>
      </c>
      <c r="F36" t="s">
        <v>260</v>
      </c>
      <c r="G36" s="33">
        <v>81306.850000000006</v>
      </c>
      <c r="H36" s="34">
        <f t="shared" si="1"/>
        <v>1.8759636209405794E-2</v>
      </c>
    </row>
    <row r="37" spans="2:8">
      <c r="B37" s="58">
        <v>45938</v>
      </c>
      <c r="C37" s="33">
        <v>20.16</v>
      </c>
      <c r="D37" s="34">
        <f t="shared" si="0"/>
        <v>-4.5454545454545525E-2</v>
      </c>
      <c r="F37" s="58">
        <v>45938</v>
      </c>
      <c r="G37" s="33">
        <v>80597.66</v>
      </c>
      <c r="H37" s="34">
        <f t="shared" si="1"/>
        <v>-8.7223893189811719E-3</v>
      </c>
    </row>
    <row r="38" spans="2:8">
      <c r="B38" s="58">
        <v>45724</v>
      </c>
      <c r="C38" s="33">
        <v>19.989999999999998</v>
      </c>
      <c r="D38" s="34">
        <f t="shared" si="0"/>
        <v>-8.4325396825397636E-3</v>
      </c>
      <c r="F38" s="58">
        <v>45724</v>
      </c>
      <c r="G38" s="33">
        <v>79857.789999999994</v>
      </c>
      <c r="H38" s="34">
        <f t="shared" si="1"/>
        <v>-9.1797950461590672E-3</v>
      </c>
    </row>
    <row r="39" spans="2:8">
      <c r="B39" t="s">
        <v>264</v>
      </c>
      <c r="C39" s="33">
        <v>20.21</v>
      </c>
      <c r="D39" s="34">
        <f t="shared" si="0"/>
        <v>1.1005502751375795E-2</v>
      </c>
      <c r="F39" t="s">
        <v>264</v>
      </c>
      <c r="G39" s="33">
        <v>80599.91</v>
      </c>
      <c r="H39" s="34">
        <f t="shared" si="1"/>
        <v>9.2930195037954633E-3</v>
      </c>
    </row>
    <row r="40" spans="2:8">
      <c r="B40" t="s">
        <v>266</v>
      </c>
      <c r="C40" s="33">
        <v>17.7</v>
      </c>
      <c r="D40" s="34">
        <f t="shared" si="0"/>
        <v>-0.12419594260267197</v>
      </c>
      <c r="F40" t="s">
        <v>266</v>
      </c>
      <c r="G40" s="33">
        <v>81463.09</v>
      </c>
      <c r="H40" s="34">
        <f t="shared" si="1"/>
        <v>1.0709441238829998E-2</v>
      </c>
    </row>
    <row r="41" spans="2:8">
      <c r="B41" t="s">
        <v>268</v>
      </c>
      <c r="C41" s="33">
        <v>18.43</v>
      </c>
      <c r="D41" s="34">
        <f t="shared" si="0"/>
        <v>4.1242937853107398E-2</v>
      </c>
      <c r="F41" t="s">
        <v>268</v>
      </c>
      <c r="G41" s="33">
        <v>81757.73</v>
      </c>
      <c r="H41" s="34">
        <f t="shared" si="1"/>
        <v>3.6168527366198244E-3</v>
      </c>
    </row>
    <row r="42" spans="2:8">
      <c r="B42" s="58">
        <v>45815</v>
      </c>
      <c r="C42" s="33">
        <v>16.97</v>
      </c>
      <c r="D42" s="34">
        <f t="shared" si="0"/>
        <v>-7.9218665219750406E-2</v>
      </c>
      <c r="F42" s="58">
        <v>45815</v>
      </c>
      <c r="G42" s="33">
        <v>82500.47</v>
      </c>
      <c r="H42" s="34">
        <f t="shared" si="1"/>
        <v>9.0846455741862009E-3</v>
      </c>
    </row>
    <row r="43" spans="2:8">
      <c r="B43" t="s">
        <v>271</v>
      </c>
      <c r="C43" s="33">
        <v>16.22</v>
      </c>
      <c r="D43" s="34">
        <f t="shared" si="0"/>
        <v>-4.4195639363582839E-2</v>
      </c>
      <c r="F43" t="s">
        <v>271</v>
      </c>
      <c r="G43" s="33">
        <v>83432.89</v>
      </c>
      <c r="H43" s="34">
        <f t="shared" si="1"/>
        <v>1.1301996218930688E-2</v>
      </c>
    </row>
    <row r="44" spans="2:8">
      <c r="B44" t="s">
        <v>273</v>
      </c>
      <c r="C44" s="33">
        <v>12.3</v>
      </c>
      <c r="D44" s="34">
        <f t="shared" si="0"/>
        <v>-0.24167694204685564</v>
      </c>
      <c r="F44" t="s">
        <v>273</v>
      </c>
      <c r="G44" s="33">
        <v>84058.9</v>
      </c>
      <c r="H44" s="34">
        <f t="shared" si="1"/>
        <v>7.5031561294351956E-3</v>
      </c>
    </row>
    <row r="45" spans="2:8">
      <c r="B45" t="s">
        <v>275</v>
      </c>
      <c r="C45" s="33">
        <v>12.29</v>
      </c>
      <c r="D45" s="34">
        <f t="shared" si="0"/>
        <v>-8.1300813008144956E-4</v>
      </c>
      <c r="F45" t="s">
        <v>275</v>
      </c>
      <c r="G45" s="33">
        <v>82408.17</v>
      </c>
      <c r="H45" s="34">
        <f t="shared" si="1"/>
        <v>-1.9637777796283284E-2</v>
      </c>
    </row>
    <row r="46" spans="2:8">
      <c r="B46" s="58">
        <v>45875</v>
      </c>
      <c r="C46" s="33">
        <v>11.9</v>
      </c>
      <c r="D46" s="34">
        <f t="shared" si="0"/>
        <v>-3.1733116354759838E-2</v>
      </c>
      <c r="F46" s="58">
        <v>45875</v>
      </c>
      <c r="G46" s="33">
        <v>81118.600000000006</v>
      </c>
      <c r="H46" s="34">
        <f t="shared" si="1"/>
        <v>-1.5648569795931544E-2</v>
      </c>
    </row>
    <row r="47" spans="2:8">
      <c r="B47" s="58">
        <v>45663</v>
      </c>
      <c r="C47" s="33">
        <v>11.71</v>
      </c>
      <c r="D47" s="34">
        <f t="shared" si="0"/>
        <v>-1.5966386554621792E-2</v>
      </c>
      <c r="F47" s="58">
        <v>45663</v>
      </c>
      <c r="G47" s="33">
        <v>82188.990000000005</v>
      </c>
      <c r="H47" s="34">
        <f t="shared" si="1"/>
        <v>1.319537072878485E-2</v>
      </c>
    </row>
    <row r="48" spans="2:8">
      <c r="B48" t="s">
        <v>279</v>
      </c>
      <c r="C48" s="33">
        <v>11.68</v>
      </c>
      <c r="D48" s="34">
        <f t="shared" si="0"/>
        <v>-2.5619128949616599E-3</v>
      </c>
      <c r="F48" t="s">
        <v>279</v>
      </c>
      <c r="G48" s="33">
        <v>81451.009999999995</v>
      </c>
      <c r="H48" s="34">
        <f t="shared" si="1"/>
        <v>-8.9790615507017169E-3</v>
      </c>
    </row>
    <row r="49" spans="2:8">
      <c r="B49" t="s">
        <v>281</v>
      </c>
      <c r="C49" s="33">
        <v>12.16</v>
      </c>
      <c r="D49" s="34">
        <f t="shared" si="0"/>
        <v>4.1095890410958846E-2</v>
      </c>
      <c r="F49" t="s">
        <v>281</v>
      </c>
      <c r="G49" s="33">
        <v>81721.08</v>
      </c>
      <c r="H49" s="34">
        <f t="shared" si="1"/>
        <v>3.3157354340971334E-3</v>
      </c>
    </row>
    <row r="50" spans="2:8">
      <c r="B50" s="58">
        <v>45966</v>
      </c>
      <c r="C50" s="33">
        <v>12.25</v>
      </c>
      <c r="D50" s="34">
        <f t="shared" si="0"/>
        <v>7.4013157894736725E-3</v>
      </c>
      <c r="F50" s="58">
        <v>45966</v>
      </c>
      <c r="G50" s="33">
        <v>82330.59</v>
      </c>
      <c r="H50" s="34">
        <f t="shared" si="1"/>
        <v>7.4584183175259167E-3</v>
      </c>
    </row>
    <row r="51" spans="2:8">
      <c r="B51" s="58">
        <v>45752</v>
      </c>
      <c r="C51" s="33">
        <v>10.94</v>
      </c>
      <c r="D51" s="34">
        <f t="shared" si="0"/>
        <v>-0.10693877551020414</v>
      </c>
      <c r="F51" s="58">
        <v>45752</v>
      </c>
      <c r="G51" s="33">
        <v>79454.47</v>
      </c>
      <c r="H51" s="34">
        <f t="shared" si="1"/>
        <v>-3.4933795567358317E-2</v>
      </c>
    </row>
    <row r="52" spans="2:8">
      <c r="B52" t="s">
        <v>285</v>
      </c>
      <c r="C52" s="33">
        <v>11.47</v>
      </c>
      <c r="D52" s="34">
        <f t="shared" si="0"/>
        <v>4.8446069469835651E-2</v>
      </c>
      <c r="F52" t="s">
        <v>285</v>
      </c>
      <c r="G52" s="33">
        <v>80501.990000000005</v>
      </c>
      <c r="H52" s="34">
        <f t="shared" si="1"/>
        <v>1.3183902680365289E-2</v>
      </c>
    </row>
    <row r="53" spans="2:8">
      <c r="B53" t="s">
        <v>287</v>
      </c>
      <c r="C53" s="33">
        <v>11.9</v>
      </c>
      <c r="D53" s="34">
        <f t="shared" si="0"/>
        <v>3.7489102005231034E-2</v>
      </c>
      <c r="F53" t="s">
        <v>287</v>
      </c>
      <c r="G53" s="33">
        <v>79212.53</v>
      </c>
      <c r="H53" s="34">
        <f t="shared" si="1"/>
        <v>-1.6017740679454051E-2</v>
      </c>
    </row>
    <row r="54" spans="2:8">
      <c r="B54" t="s">
        <v>289</v>
      </c>
      <c r="C54" s="33">
        <v>12.49</v>
      </c>
      <c r="D54" s="34">
        <f t="shared" si="0"/>
        <v>4.9579831932773155E-2</v>
      </c>
      <c r="F54" t="s">
        <v>289</v>
      </c>
      <c r="G54" s="33">
        <v>78553.2</v>
      </c>
      <c r="H54" s="34">
        <f t="shared" si="1"/>
        <v>-8.323556891820072E-3</v>
      </c>
    </row>
    <row r="55" spans="2:8">
      <c r="B55" s="58">
        <v>45812</v>
      </c>
      <c r="C55" s="33">
        <v>12.57</v>
      </c>
      <c r="D55" s="34">
        <f t="shared" si="0"/>
        <v>6.4051240992795133E-3</v>
      </c>
      <c r="F55" s="58">
        <v>45812</v>
      </c>
      <c r="G55" s="33">
        <v>75157.259999999995</v>
      </c>
      <c r="H55" s="34">
        <f t="shared" si="1"/>
        <v>-4.3231084156978961E-2</v>
      </c>
    </row>
    <row r="56" spans="2:8">
      <c r="B56" t="s">
        <v>292</v>
      </c>
      <c r="C56" s="33">
        <v>13.73</v>
      </c>
      <c r="D56" s="34">
        <f t="shared" si="0"/>
        <v>9.2283214001591007E-2</v>
      </c>
      <c r="F56" t="s">
        <v>292</v>
      </c>
      <c r="G56" s="33">
        <v>75364.69</v>
      </c>
      <c r="H56" s="34">
        <f t="shared" si="1"/>
        <v>2.7599462779777095E-3</v>
      </c>
    </row>
    <row r="57" spans="2:8">
      <c r="B57" t="s">
        <v>294</v>
      </c>
      <c r="C57" s="33">
        <v>10.71</v>
      </c>
      <c r="D57" s="34">
        <f t="shared" si="0"/>
        <v>-0.21995630007283318</v>
      </c>
      <c r="F57" t="s">
        <v>294</v>
      </c>
      <c r="G57" s="33">
        <v>77414.92</v>
      </c>
      <c r="H57" s="34">
        <f t="shared" si="1"/>
        <v>2.7204119064246024E-2</v>
      </c>
    </row>
    <row r="58" spans="2:8">
      <c r="B58" t="s">
        <v>296</v>
      </c>
      <c r="C58" s="33">
        <v>12.85</v>
      </c>
      <c r="D58" s="34">
        <f t="shared" si="0"/>
        <v>0.199813258636788</v>
      </c>
      <c r="F58" t="s">
        <v>296</v>
      </c>
      <c r="G58" s="33">
        <v>76905.509999999995</v>
      </c>
      <c r="H58" s="34">
        <f t="shared" si="1"/>
        <v>-6.5802561056705899E-3</v>
      </c>
    </row>
    <row r="59" spans="2:8">
      <c r="B59" s="58">
        <v>45903</v>
      </c>
      <c r="C59" s="33">
        <v>12.84</v>
      </c>
      <c r="D59" s="34">
        <f t="shared" si="0"/>
        <v>-7.7821011673151474E-4</v>
      </c>
      <c r="F59" s="58">
        <v>45903</v>
      </c>
      <c r="G59" s="33">
        <v>73828.91</v>
      </c>
      <c r="H59" s="34">
        <f t="shared" si="1"/>
        <v>-4.0004935927217544E-2</v>
      </c>
    </row>
    <row r="60" spans="2:8">
      <c r="B60" s="58">
        <v>45691</v>
      </c>
      <c r="C60" s="33">
        <v>13.94</v>
      </c>
      <c r="D60" s="34">
        <f t="shared" si="0"/>
        <v>8.5669781931464239E-2</v>
      </c>
      <c r="F60" s="58">
        <v>45691</v>
      </c>
      <c r="G60" s="33">
        <v>74332.58</v>
      </c>
      <c r="H60" s="34">
        <f t="shared" si="1"/>
        <v>6.8221242870847298E-3</v>
      </c>
    </row>
    <row r="61" spans="2:8">
      <c r="B61" t="s">
        <v>300</v>
      </c>
      <c r="C61" s="33">
        <v>13.58</v>
      </c>
      <c r="D61" s="34">
        <f t="shared" si="0"/>
        <v>-2.5824964131994199E-2</v>
      </c>
      <c r="F61" t="s">
        <v>300</v>
      </c>
      <c r="G61" s="33">
        <v>73198.100000000006</v>
      </c>
      <c r="H61" s="34">
        <f t="shared" si="1"/>
        <v>-1.5262217455656701E-2</v>
      </c>
    </row>
    <row r="62" spans="2:8">
      <c r="B62" t="s">
        <v>302</v>
      </c>
      <c r="C62" s="33">
        <v>14.24</v>
      </c>
      <c r="D62" s="34">
        <f t="shared" si="0"/>
        <v>4.8600883652430094E-2</v>
      </c>
      <c r="F62" t="s">
        <v>302</v>
      </c>
      <c r="G62" s="33">
        <v>75311.06</v>
      </c>
      <c r="H62" s="34">
        <f t="shared" si="1"/>
        <v>2.8866323032974872E-2</v>
      </c>
    </row>
    <row r="63" spans="2:8">
      <c r="B63" s="58">
        <v>45902</v>
      </c>
      <c r="C63" s="33">
        <v>14.83</v>
      </c>
      <c r="D63" s="34">
        <f t="shared" si="0"/>
        <v>4.1432584269663009E-2</v>
      </c>
      <c r="F63" s="58">
        <v>45902</v>
      </c>
      <c r="G63" s="33">
        <v>75939.210000000006</v>
      </c>
      <c r="H63" s="34">
        <f t="shared" si="1"/>
        <v>8.3407403905881861E-3</v>
      </c>
    </row>
    <row r="64" spans="2:8">
      <c r="B64" s="58">
        <v>45690</v>
      </c>
      <c r="C64" s="33">
        <v>15.04</v>
      </c>
      <c r="D64" s="34">
        <f t="shared" si="0"/>
        <v>1.4160485502360043E-2</v>
      </c>
      <c r="F64" s="58">
        <v>45690</v>
      </c>
      <c r="G64" s="33">
        <v>77860.19</v>
      </c>
      <c r="H64" s="34">
        <f t="shared" si="1"/>
        <v>2.5296286332185947E-2</v>
      </c>
    </row>
    <row r="65" spans="2:8">
      <c r="B65" t="s">
        <v>306</v>
      </c>
      <c r="C65" s="33">
        <v>15.24</v>
      </c>
      <c r="D65" s="34">
        <f t="shared" si="0"/>
        <v>1.3297872340425565E-2</v>
      </c>
      <c r="F65" t="s">
        <v>306</v>
      </c>
      <c r="G65" s="33">
        <v>76190.460000000006</v>
      </c>
      <c r="H65" s="34">
        <f t="shared" si="1"/>
        <v>-2.1445234079187303E-2</v>
      </c>
    </row>
    <row r="66" spans="2:8">
      <c r="B66" t="s">
        <v>308</v>
      </c>
      <c r="C66" s="33">
        <v>14.26</v>
      </c>
      <c r="D66" s="34">
        <f t="shared" si="0"/>
        <v>-6.4304461942257252E-2</v>
      </c>
      <c r="F66" t="s">
        <v>308</v>
      </c>
      <c r="G66" s="33">
        <v>76619.33</v>
      </c>
      <c r="H66" s="34">
        <f t="shared" si="1"/>
        <v>5.6289199461454498E-3</v>
      </c>
    </row>
    <row r="67" spans="2:8">
      <c r="B67" s="58">
        <v>45992</v>
      </c>
      <c r="C67" s="33">
        <v>14.44</v>
      </c>
      <c r="D67" s="34">
        <f t="shared" si="0"/>
        <v>1.2622720897615736E-2</v>
      </c>
      <c r="F67" s="58">
        <v>45992</v>
      </c>
      <c r="G67" s="33">
        <v>77378.91</v>
      </c>
      <c r="H67" s="34">
        <f t="shared" si="1"/>
        <v>9.9136862721196373E-3</v>
      </c>
    </row>
    <row r="68" spans="2:8">
      <c r="B68" s="58">
        <v>45778</v>
      </c>
      <c r="C68" s="33">
        <v>14.05</v>
      </c>
      <c r="D68" s="34">
        <f t="shared" si="0"/>
        <v>-2.7008310249307388E-2</v>
      </c>
      <c r="F68" s="58">
        <v>45778</v>
      </c>
      <c r="G68" s="33">
        <v>79223.11</v>
      </c>
      <c r="H68" s="34">
        <f t="shared" si="1"/>
        <v>2.3833367515774029E-2</v>
      </c>
    </row>
    <row r="69" spans="2:8">
      <c r="B69" t="s">
        <v>312</v>
      </c>
      <c r="C69" s="33">
        <v>14.72</v>
      </c>
      <c r="D69" s="34">
        <f t="shared" si="0"/>
        <v>4.7686832740213569E-2</v>
      </c>
      <c r="F69" t="s">
        <v>312</v>
      </c>
      <c r="G69" s="33">
        <v>78699.070000000007</v>
      </c>
      <c r="H69" s="34">
        <f t="shared" si="1"/>
        <v>-6.6147365333170116E-3</v>
      </c>
    </row>
    <row r="70" spans="2:8">
      <c r="B70" t="s">
        <v>314</v>
      </c>
      <c r="C70" s="33">
        <v>15.12</v>
      </c>
      <c r="D70" s="34">
        <f t="shared" si="0"/>
        <v>2.7173913043478271E-2</v>
      </c>
      <c r="F70" t="s">
        <v>314</v>
      </c>
      <c r="G70" s="33">
        <v>78041.59</v>
      </c>
      <c r="H70" s="34">
        <f t="shared" si="1"/>
        <v>-8.3543553945428783E-3</v>
      </c>
    </row>
    <row r="71" spans="2:8">
      <c r="B71" t="s">
        <v>316</v>
      </c>
      <c r="C71" s="33">
        <v>15.58</v>
      </c>
      <c r="D71" s="34">
        <f t="shared" si="0"/>
        <v>3.0423280423280463E-2</v>
      </c>
      <c r="F71" t="s">
        <v>316</v>
      </c>
      <c r="G71" s="33">
        <v>82133.119999999995</v>
      </c>
      <c r="H71" s="34">
        <f t="shared" si="1"/>
        <v>5.2427558177633227E-2</v>
      </c>
    </row>
    <row r="72" spans="2:8">
      <c r="B72" s="58">
        <v>45516</v>
      </c>
      <c r="C72" s="33">
        <v>15.97</v>
      </c>
      <c r="D72" s="34">
        <f t="shared" si="0"/>
        <v>2.5032092426187535E-2</v>
      </c>
      <c r="F72" s="58">
        <v>45516</v>
      </c>
      <c r="G72" s="33">
        <v>81709.119999999995</v>
      </c>
      <c r="H72" s="34">
        <f t="shared" si="1"/>
        <v>-5.162351071041793E-3</v>
      </c>
    </row>
    <row r="73" spans="2:8">
      <c r="B73" s="58">
        <v>45303</v>
      </c>
      <c r="C73" s="33">
        <v>15.87</v>
      </c>
      <c r="D73" s="34">
        <f t="shared" si="0"/>
        <v>-6.2617407639324885E-3</v>
      </c>
      <c r="F73" s="58">
        <v>45303</v>
      </c>
      <c r="G73" s="33">
        <v>79802.789999999994</v>
      </c>
      <c r="H73" s="34">
        <f t="shared" si="1"/>
        <v>-2.3330688177770176E-2</v>
      </c>
    </row>
    <row r="74" spans="2:8">
      <c r="B74" t="s">
        <v>320</v>
      </c>
      <c r="C74" s="33">
        <v>15.95</v>
      </c>
      <c r="D74" s="34">
        <f t="shared" si="0"/>
        <v>5.04095778197855E-3</v>
      </c>
      <c r="F74" t="s">
        <v>320</v>
      </c>
      <c r="G74" s="33">
        <v>79117.11</v>
      </c>
      <c r="H74" s="34">
        <f t="shared" si="1"/>
        <v>-8.592180799693705E-3</v>
      </c>
    </row>
    <row r="75" spans="2:8">
      <c r="B75" t="s">
        <v>322</v>
      </c>
      <c r="C75" s="33">
        <v>15.13</v>
      </c>
      <c r="D75" s="34">
        <f t="shared" si="0"/>
        <v>-5.1410658307209922E-2</v>
      </c>
      <c r="F75" t="s">
        <v>322</v>
      </c>
      <c r="G75" s="33">
        <v>77580.31</v>
      </c>
      <c r="H75" s="34">
        <f t="shared" si="1"/>
        <v>-1.9424369772859551E-2</v>
      </c>
    </row>
    <row r="76" spans="2:8">
      <c r="B76" s="58">
        <v>45576</v>
      </c>
      <c r="C76" s="33">
        <v>14.6</v>
      </c>
      <c r="D76" s="34">
        <f t="shared" si="0"/>
        <v>-3.5029742233972261E-2</v>
      </c>
      <c r="F76" s="58">
        <v>45576</v>
      </c>
      <c r="G76" s="33">
        <v>79486.320000000007</v>
      </c>
      <c r="H76" s="34">
        <f t="shared" si="1"/>
        <v>2.4568218404902087E-2</v>
      </c>
    </row>
    <row r="77" spans="2:8">
      <c r="B77" s="58">
        <v>45362</v>
      </c>
      <c r="C77" s="33">
        <v>16.350000000000001</v>
      </c>
      <c r="D77" s="34">
        <f t="shared" si="0"/>
        <v>0.11986301369863028</v>
      </c>
      <c r="F77" s="58">
        <v>45362</v>
      </c>
      <c r="G77" s="33">
        <v>79724.12</v>
      </c>
      <c r="H77" s="34">
        <f t="shared" si="1"/>
        <v>2.9917097684228899E-3</v>
      </c>
    </row>
    <row r="78" spans="2:8">
      <c r="B78" t="s">
        <v>326</v>
      </c>
      <c r="C78" s="33">
        <v>16.63</v>
      </c>
      <c r="D78" s="34">
        <f t="shared" si="0"/>
        <v>1.7125382262996869E-2</v>
      </c>
      <c r="F78" t="s">
        <v>326</v>
      </c>
      <c r="G78" s="33">
        <v>79402.289999999994</v>
      </c>
      <c r="H78" s="34">
        <f t="shared" si="1"/>
        <v>-4.0367958906288859E-3</v>
      </c>
    </row>
    <row r="79" spans="2:8">
      <c r="B79" t="s">
        <v>328</v>
      </c>
      <c r="C79" s="33">
        <v>15.95</v>
      </c>
      <c r="D79" s="34">
        <f t="shared" ref="D79:D120" si="2">C79/C78-1</f>
        <v>-4.0889957907396246E-2</v>
      </c>
      <c r="F79" t="s">
        <v>328</v>
      </c>
      <c r="G79" s="33">
        <v>81224.75</v>
      </c>
      <c r="H79" s="34">
        <f t="shared" ref="H79:H120" si="3">G79/G78-1</f>
        <v>2.2952234752927181E-2</v>
      </c>
    </row>
    <row r="80" spans="2:8">
      <c r="B80" t="s">
        <v>330</v>
      </c>
      <c r="C80" s="33">
        <v>17.170000000000002</v>
      </c>
      <c r="D80" s="34">
        <f t="shared" si="2"/>
        <v>7.6489028213166277E-2</v>
      </c>
      <c r="F80" t="s">
        <v>330</v>
      </c>
      <c r="G80" s="33">
        <v>81381.36</v>
      </c>
      <c r="H80" s="34">
        <f t="shared" si="3"/>
        <v>1.9281068886023434E-3</v>
      </c>
    </row>
    <row r="81" spans="2:8">
      <c r="B81" s="58">
        <v>45453</v>
      </c>
      <c r="C81" s="33">
        <v>17.02</v>
      </c>
      <c r="D81" s="34">
        <f t="shared" si="2"/>
        <v>-8.7361677344206523E-3</v>
      </c>
      <c r="F81" s="58">
        <v>45453</v>
      </c>
      <c r="G81" s="33">
        <v>81688.45</v>
      </c>
      <c r="H81" s="34">
        <f t="shared" si="3"/>
        <v>3.7734685190808914E-3</v>
      </c>
    </row>
    <row r="82" spans="2:8">
      <c r="B82" t="s">
        <v>333</v>
      </c>
      <c r="C82" s="33">
        <v>18.72</v>
      </c>
      <c r="D82" s="34">
        <f t="shared" si="2"/>
        <v>9.9882491186839006E-2</v>
      </c>
      <c r="F82" t="s">
        <v>333</v>
      </c>
      <c r="G82" s="33">
        <v>85571.85</v>
      </c>
      <c r="H82" s="34">
        <f t="shared" si="3"/>
        <v>4.7539156392366388E-2</v>
      </c>
    </row>
    <row r="83" spans="2:8">
      <c r="B83" t="s">
        <v>335</v>
      </c>
      <c r="C83" s="33">
        <v>18.34</v>
      </c>
      <c r="D83" s="34">
        <f t="shared" si="2"/>
        <v>-2.0299145299145227E-2</v>
      </c>
      <c r="F83" t="s">
        <v>335</v>
      </c>
      <c r="G83" s="33">
        <v>84544.31</v>
      </c>
      <c r="H83" s="34">
        <f t="shared" si="3"/>
        <v>-1.2007920829104513E-2</v>
      </c>
    </row>
    <row r="84" spans="2:8">
      <c r="B84" t="s">
        <v>337</v>
      </c>
      <c r="C84" s="33">
        <v>17.760000000000002</v>
      </c>
      <c r="D84" s="34">
        <f t="shared" si="2"/>
        <v>-3.1624863685932314E-2</v>
      </c>
      <c r="F84" t="s">
        <v>337</v>
      </c>
      <c r="G84" s="33">
        <v>82890.94</v>
      </c>
      <c r="H84" s="34">
        <f t="shared" si="3"/>
        <v>-1.9556253992728756E-2</v>
      </c>
    </row>
    <row r="85" spans="2:8">
      <c r="B85" s="58">
        <v>45513</v>
      </c>
      <c r="C85" s="33">
        <v>17.899999999999999</v>
      </c>
      <c r="D85" s="34">
        <f t="shared" si="2"/>
        <v>7.8828828828827469E-3</v>
      </c>
      <c r="F85" s="58">
        <v>45513</v>
      </c>
      <c r="G85" s="33">
        <v>81183.929999999993</v>
      </c>
      <c r="H85" s="34">
        <f t="shared" si="3"/>
        <v>-2.0593444832451069E-2</v>
      </c>
    </row>
    <row r="86" spans="2:8">
      <c r="B86" s="58">
        <v>45300</v>
      </c>
      <c r="C86" s="33">
        <v>16.45</v>
      </c>
      <c r="D86" s="34">
        <f t="shared" si="2"/>
        <v>-8.1005586592178713E-2</v>
      </c>
      <c r="F86" s="58">
        <v>45300</v>
      </c>
      <c r="G86" s="33">
        <v>82365.77</v>
      </c>
      <c r="H86" s="34">
        <f t="shared" si="3"/>
        <v>1.4557560837471284E-2</v>
      </c>
    </row>
    <row r="87" spans="2:8">
      <c r="B87" t="s">
        <v>341</v>
      </c>
      <c r="C87" s="33">
        <v>17.18</v>
      </c>
      <c r="D87" s="34">
        <f t="shared" si="2"/>
        <v>4.4376899696048744E-2</v>
      </c>
      <c r="F87" t="s">
        <v>341</v>
      </c>
      <c r="G87" s="33">
        <v>81086.210000000006</v>
      </c>
      <c r="H87" s="34">
        <f t="shared" si="3"/>
        <v>-1.5535094250924808E-2</v>
      </c>
    </row>
    <row r="88" spans="2:8">
      <c r="B88" t="s">
        <v>343</v>
      </c>
      <c r="C88" s="33">
        <v>17.350000000000001</v>
      </c>
      <c r="D88" s="34">
        <f t="shared" si="2"/>
        <v>9.8952270081491545E-3</v>
      </c>
      <c r="F88" t="s">
        <v>343</v>
      </c>
      <c r="G88" s="33">
        <v>80436.84</v>
      </c>
      <c r="H88" s="34">
        <f t="shared" si="3"/>
        <v>-8.0083900826047882E-3</v>
      </c>
    </row>
    <row r="89" spans="2:8">
      <c r="B89" s="58">
        <v>45604</v>
      </c>
      <c r="C89" s="33">
        <v>15.98</v>
      </c>
      <c r="D89" s="34">
        <f t="shared" si="2"/>
        <v>-7.8962536023054808E-2</v>
      </c>
      <c r="F89" s="58">
        <v>45604</v>
      </c>
      <c r="G89" s="33">
        <v>79705.91</v>
      </c>
      <c r="H89" s="34">
        <f t="shared" si="3"/>
        <v>-9.0870054069751571E-3</v>
      </c>
    </row>
    <row r="90" spans="2:8">
      <c r="B90" s="58">
        <v>45390</v>
      </c>
      <c r="C90" s="33">
        <v>17.07</v>
      </c>
      <c r="D90" s="34">
        <f t="shared" si="2"/>
        <v>6.8210262828535706E-2</v>
      </c>
      <c r="F90" s="58">
        <v>45390</v>
      </c>
      <c r="G90" s="33">
        <v>80981.95</v>
      </c>
      <c r="H90" s="34">
        <f t="shared" si="3"/>
        <v>1.6009352380519815E-2</v>
      </c>
    </row>
    <row r="91" spans="2:8">
      <c r="B91" t="s">
        <v>347</v>
      </c>
      <c r="C91" s="33">
        <v>17.11</v>
      </c>
      <c r="D91" s="34">
        <f t="shared" si="2"/>
        <v>2.3432923257176164E-3</v>
      </c>
      <c r="F91" t="s">
        <v>347</v>
      </c>
      <c r="G91" s="33">
        <v>81332.72</v>
      </c>
      <c r="H91" s="34">
        <f t="shared" si="3"/>
        <v>4.3314590473557679E-3</v>
      </c>
    </row>
    <row r="92" spans="2:8">
      <c r="B92" t="s">
        <v>349</v>
      </c>
      <c r="C92" s="33">
        <v>17.420000000000002</v>
      </c>
      <c r="D92" s="34">
        <f t="shared" si="2"/>
        <v>1.8118059614260718E-2</v>
      </c>
      <c r="F92" t="s">
        <v>349</v>
      </c>
      <c r="G92" s="33">
        <v>80604.649999999994</v>
      </c>
      <c r="H92" s="34">
        <f t="shared" si="3"/>
        <v>-8.9517478328525746E-3</v>
      </c>
    </row>
    <row r="93" spans="2:8">
      <c r="B93" t="s">
        <v>351</v>
      </c>
      <c r="C93" s="33">
        <v>16.48</v>
      </c>
      <c r="D93" s="34">
        <f t="shared" si="2"/>
        <v>-5.3960964408725665E-2</v>
      </c>
      <c r="F93" t="s">
        <v>351</v>
      </c>
      <c r="G93" s="33">
        <v>80519.34</v>
      </c>
      <c r="H93" s="34">
        <f t="shared" si="3"/>
        <v>-1.0583756644312325E-3</v>
      </c>
    </row>
    <row r="94" spans="2:8">
      <c r="B94" s="58">
        <v>45480</v>
      </c>
      <c r="C94" s="33">
        <v>16.66</v>
      </c>
      <c r="D94" s="34">
        <f t="shared" si="2"/>
        <v>1.0922330097087318E-2</v>
      </c>
      <c r="F94" s="58">
        <v>45480</v>
      </c>
      <c r="G94" s="33">
        <v>79996.600000000006</v>
      </c>
      <c r="H94" s="34">
        <f t="shared" si="3"/>
        <v>-6.4921048781571011E-3</v>
      </c>
    </row>
    <row r="95" spans="2:8">
      <c r="B95" t="s">
        <v>354</v>
      </c>
      <c r="C95" s="33">
        <v>17.399999999999999</v>
      </c>
      <c r="D95" s="34">
        <f t="shared" si="2"/>
        <v>4.4417767106842643E-2</v>
      </c>
      <c r="F95" t="s">
        <v>354</v>
      </c>
      <c r="G95" s="33">
        <v>79032.73</v>
      </c>
      <c r="H95" s="34">
        <f t="shared" si="3"/>
        <v>-1.2048887077700909E-2</v>
      </c>
    </row>
    <row r="96" spans="2:8">
      <c r="B96" t="s">
        <v>356</v>
      </c>
      <c r="C96" s="33">
        <v>17.489999999999998</v>
      </c>
      <c r="D96" s="34">
        <f t="shared" si="2"/>
        <v>5.1724137931035141E-3</v>
      </c>
      <c r="F96" t="s">
        <v>356</v>
      </c>
      <c r="G96" s="33">
        <v>77209.899999999994</v>
      </c>
      <c r="H96" s="34">
        <f t="shared" si="3"/>
        <v>-2.3064241865363933E-2</v>
      </c>
    </row>
    <row r="97" spans="2:8">
      <c r="B97" t="s">
        <v>358</v>
      </c>
      <c r="C97" s="33">
        <v>16.37</v>
      </c>
      <c r="D97" s="34">
        <f t="shared" si="2"/>
        <v>-6.4036592338479026E-2</v>
      </c>
      <c r="F97" t="s">
        <v>358</v>
      </c>
      <c r="G97" s="33">
        <v>76992.77</v>
      </c>
      <c r="H97" s="34">
        <f t="shared" si="3"/>
        <v>-2.8122041344437188E-3</v>
      </c>
    </row>
    <row r="98" spans="2:8">
      <c r="B98" s="58">
        <v>45541</v>
      </c>
      <c r="C98" s="33">
        <v>16.559999999999999</v>
      </c>
      <c r="D98" s="34">
        <f t="shared" si="2"/>
        <v>1.1606597434330901E-2</v>
      </c>
      <c r="F98" s="58">
        <v>45541</v>
      </c>
      <c r="G98" s="33">
        <v>76693.36</v>
      </c>
      <c r="H98" s="34">
        <f t="shared" si="3"/>
        <v>-3.8888067022397887E-3</v>
      </c>
    </row>
    <row r="99" spans="2:8">
      <c r="B99" s="58">
        <v>45328</v>
      </c>
      <c r="C99" s="33">
        <v>16.91</v>
      </c>
      <c r="D99" s="34">
        <f t="shared" si="2"/>
        <v>2.1135265700483075E-2</v>
      </c>
      <c r="F99" s="58">
        <v>45328</v>
      </c>
      <c r="G99" s="33">
        <v>73961.31</v>
      </c>
      <c r="H99" s="34">
        <f t="shared" si="3"/>
        <v>-3.5623031772242131E-2</v>
      </c>
    </row>
    <row r="100" spans="2:8">
      <c r="B100" t="s">
        <v>362</v>
      </c>
      <c r="C100" s="33">
        <v>16.670000000000002</v>
      </c>
      <c r="D100" s="34">
        <f t="shared" si="2"/>
        <v>-1.4192785334121716E-2</v>
      </c>
      <c r="F100" t="s">
        <v>362</v>
      </c>
      <c r="G100" s="33">
        <v>75410.39</v>
      </c>
      <c r="H100" s="34">
        <f t="shared" si="3"/>
        <v>1.959240581325572E-2</v>
      </c>
    </row>
    <row r="101" spans="2:8">
      <c r="B101" t="s">
        <v>364</v>
      </c>
      <c r="C101" s="33">
        <v>17.23</v>
      </c>
      <c r="D101" s="34">
        <f t="shared" si="2"/>
        <v>3.3593281343731185E-2</v>
      </c>
      <c r="F101" t="s">
        <v>364</v>
      </c>
      <c r="G101" s="33">
        <v>74005.94</v>
      </c>
      <c r="H101" s="34">
        <f t="shared" si="3"/>
        <v>-1.8624091454771619E-2</v>
      </c>
    </row>
    <row r="102" spans="2:8">
      <c r="B102" s="58">
        <v>45631</v>
      </c>
      <c r="C102" s="33">
        <v>17.54</v>
      </c>
      <c r="D102" s="34">
        <f t="shared" si="2"/>
        <v>1.7991874637260485E-2</v>
      </c>
      <c r="F102" s="58">
        <v>45631</v>
      </c>
      <c r="G102" s="33">
        <v>72664.47</v>
      </c>
      <c r="H102" s="34">
        <f t="shared" si="3"/>
        <v>-1.8126517952477883E-2</v>
      </c>
    </row>
    <row r="103" spans="2:8">
      <c r="B103" s="58">
        <v>45417</v>
      </c>
      <c r="C103" s="33">
        <v>17.96</v>
      </c>
      <c r="D103" s="34">
        <f t="shared" si="2"/>
        <v>2.3945267958951133E-2</v>
      </c>
      <c r="F103" s="58">
        <v>45417</v>
      </c>
      <c r="G103" s="33">
        <v>73878.149999999994</v>
      </c>
      <c r="H103" s="34">
        <f t="shared" si="3"/>
        <v>1.6702523255175405E-2</v>
      </c>
    </row>
    <row r="104" spans="2:8">
      <c r="B104" t="s">
        <v>368</v>
      </c>
      <c r="C104" s="33">
        <v>18.190000000000001</v>
      </c>
      <c r="D104" s="34">
        <f t="shared" si="2"/>
        <v>1.2806236080178168E-2</v>
      </c>
      <c r="F104" t="s">
        <v>368</v>
      </c>
      <c r="G104" s="33">
        <v>73730.16</v>
      </c>
      <c r="H104" s="34">
        <f t="shared" si="3"/>
        <v>-2.0031633168939855E-3</v>
      </c>
    </row>
    <row r="105" spans="2:8">
      <c r="B105" t="s">
        <v>370</v>
      </c>
      <c r="C105" s="33">
        <v>18.489999999999998</v>
      </c>
      <c r="D105" s="34">
        <f t="shared" si="2"/>
        <v>1.6492578339746933E-2</v>
      </c>
      <c r="F105" t="s">
        <v>370</v>
      </c>
      <c r="G105" s="33">
        <v>73088.33</v>
      </c>
      <c r="H105" s="34">
        <f t="shared" si="3"/>
        <v>-8.7051214862412518E-3</v>
      </c>
    </row>
    <row r="106" spans="2:8">
      <c r="B106" t="s">
        <v>372</v>
      </c>
      <c r="C106" s="33">
        <v>19.21</v>
      </c>
      <c r="D106" s="34">
        <f t="shared" si="2"/>
        <v>3.8939967550027266E-2</v>
      </c>
      <c r="F106" t="s">
        <v>372</v>
      </c>
      <c r="G106" s="33">
        <v>74244.899999999994</v>
      </c>
      <c r="H106" s="34">
        <f t="shared" si="3"/>
        <v>1.5824277282022958E-2</v>
      </c>
    </row>
    <row r="107" spans="2:8">
      <c r="B107" s="58">
        <v>45477</v>
      </c>
      <c r="C107" s="33">
        <v>18.670000000000002</v>
      </c>
      <c r="D107" s="34">
        <f t="shared" si="2"/>
        <v>-2.8110359187922929E-2</v>
      </c>
      <c r="F107" s="58">
        <v>45477</v>
      </c>
      <c r="G107" s="33">
        <v>74248.22</v>
      </c>
      <c r="H107" s="34">
        <f t="shared" si="3"/>
        <v>4.4716876176131848E-5</v>
      </c>
    </row>
    <row r="108" spans="2:8">
      <c r="B108" t="s">
        <v>375</v>
      </c>
      <c r="C108" s="33">
        <v>21.81</v>
      </c>
      <c r="D108" s="34">
        <f t="shared" si="2"/>
        <v>0.16818425281199767</v>
      </c>
      <c r="F108" t="s">
        <v>375</v>
      </c>
      <c r="G108" s="33">
        <v>73651.350000000006</v>
      </c>
      <c r="H108" s="34">
        <f t="shared" si="3"/>
        <v>-8.0388459144205004E-3</v>
      </c>
    </row>
    <row r="109" spans="2:8">
      <c r="B109" t="s">
        <v>377</v>
      </c>
      <c r="C109" s="33">
        <v>13.83</v>
      </c>
      <c r="D109" s="34">
        <f t="shared" si="2"/>
        <v>-0.36588720770288852</v>
      </c>
      <c r="F109" t="s">
        <v>377</v>
      </c>
      <c r="G109" s="33">
        <v>72831.94</v>
      </c>
      <c r="H109" s="34">
        <f t="shared" si="3"/>
        <v>-1.1125525872913489E-2</v>
      </c>
    </row>
    <row r="110" spans="2:8">
      <c r="B110" t="s">
        <v>379</v>
      </c>
      <c r="C110" s="33">
        <v>16.010000000000002</v>
      </c>
      <c r="D110" s="34">
        <f t="shared" si="2"/>
        <v>0.15762834417932048</v>
      </c>
      <c r="F110" t="s">
        <v>379</v>
      </c>
      <c r="G110" s="33">
        <v>72643.429999999993</v>
      </c>
      <c r="H110" s="34">
        <f t="shared" si="3"/>
        <v>-2.5882875013354401E-3</v>
      </c>
    </row>
    <row r="111" spans="2:8">
      <c r="B111" s="58">
        <v>45568</v>
      </c>
      <c r="C111" s="33">
        <v>16.62</v>
      </c>
      <c r="D111" s="34">
        <f t="shared" si="2"/>
        <v>3.8101186758276118E-2</v>
      </c>
      <c r="F111" s="58">
        <v>45568</v>
      </c>
      <c r="G111" s="33">
        <v>74119.39</v>
      </c>
      <c r="H111" s="34">
        <f t="shared" si="3"/>
        <v>2.0317873206152415E-2</v>
      </c>
    </row>
    <row r="112" spans="2:8">
      <c r="B112" s="58">
        <v>45354</v>
      </c>
      <c r="C112" s="33">
        <v>18.079999999999998</v>
      </c>
      <c r="D112" s="34">
        <f t="shared" si="2"/>
        <v>8.7845968712394473E-2</v>
      </c>
      <c r="F112" s="58">
        <v>45354</v>
      </c>
      <c r="G112" s="33">
        <v>73806.149999999994</v>
      </c>
      <c r="H112" s="34">
        <f t="shared" si="3"/>
        <v>-4.2261545865394101E-3</v>
      </c>
    </row>
    <row r="113" spans="2:8">
      <c r="B113" t="s">
        <v>383</v>
      </c>
      <c r="C113" s="33">
        <v>19.100000000000001</v>
      </c>
      <c r="D113" s="34">
        <f t="shared" si="2"/>
        <v>5.6415929203539994E-2</v>
      </c>
      <c r="F113" t="s">
        <v>383</v>
      </c>
      <c r="G113" s="33">
        <v>73142.8</v>
      </c>
      <c r="H113" s="34">
        <f t="shared" si="3"/>
        <v>-8.987733407039844E-3</v>
      </c>
    </row>
    <row r="114" spans="2:8">
      <c r="B114" t="s">
        <v>385</v>
      </c>
      <c r="C114" s="33">
        <v>19.03</v>
      </c>
      <c r="D114" s="34">
        <f t="shared" si="2"/>
        <v>-3.6649214659686402E-3</v>
      </c>
      <c r="F114" t="s">
        <v>385</v>
      </c>
      <c r="G114" s="33">
        <v>72426.64</v>
      </c>
      <c r="H114" s="34">
        <f t="shared" si="3"/>
        <v>-9.7912576494201264E-3</v>
      </c>
    </row>
    <row r="115" spans="2:8">
      <c r="B115" s="58">
        <v>45598</v>
      </c>
      <c r="C115" s="33">
        <v>19.29</v>
      </c>
      <c r="D115" s="34">
        <f t="shared" si="2"/>
        <v>1.3662637940094591E-2</v>
      </c>
      <c r="F115" s="58">
        <v>45598</v>
      </c>
      <c r="G115" s="33">
        <v>71595.490000000005</v>
      </c>
      <c r="H115" s="34">
        <f t="shared" si="3"/>
        <v>-1.1475749806977076E-2</v>
      </c>
    </row>
    <row r="116" spans="2:8">
      <c r="B116" s="58">
        <v>45384</v>
      </c>
      <c r="C116" s="33">
        <v>19.66</v>
      </c>
      <c r="D116" s="34">
        <f t="shared" si="2"/>
        <v>1.9180922757905616E-2</v>
      </c>
      <c r="F116" s="58">
        <v>45384</v>
      </c>
      <c r="G116" s="33">
        <v>72085.63</v>
      </c>
      <c r="H116" s="34">
        <f t="shared" si="3"/>
        <v>6.8459619453682397E-3</v>
      </c>
    </row>
    <row r="117" spans="2:8">
      <c r="B117" t="s">
        <v>388</v>
      </c>
      <c r="C117" s="33">
        <v>20.82</v>
      </c>
      <c r="D117" s="34">
        <f t="shared" si="2"/>
        <v>5.9003051881993951E-2</v>
      </c>
      <c r="F117" t="s">
        <v>388</v>
      </c>
      <c r="G117" s="33">
        <v>70700.67</v>
      </c>
      <c r="H117" s="34">
        <f t="shared" si="3"/>
        <v>-1.9212705777836847E-2</v>
      </c>
    </row>
    <row r="118" spans="2:8">
      <c r="B118" t="s">
        <v>390</v>
      </c>
      <c r="C118" s="33">
        <v>20.7</v>
      </c>
      <c r="D118" s="34">
        <f t="shared" si="2"/>
        <v>-5.7636887608070175E-3</v>
      </c>
      <c r="F118" t="s">
        <v>390</v>
      </c>
      <c r="G118" s="33">
        <v>71423.649999999994</v>
      </c>
      <c r="H118" s="34">
        <f t="shared" si="3"/>
        <v>1.0225928552020758E-2</v>
      </c>
    </row>
    <row r="119" spans="2:8">
      <c r="B119" t="s">
        <v>392</v>
      </c>
      <c r="C119" s="33">
        <v>20.63</v>
      </c>
      <c r="D119" s="34">
        <f t="shared" si="2"/>
        <v>-3.3816425120772875E-3</v>
      </c>
      <c r="F119" t="s">
        <v>392</v>
      </c>
      <c r="G119" s="33">
        <v>72568.45</v>
      </c>
      <c r="H119" s="34">
        <f t="shared" si="3"/>
        <v>1.6028304350169664E-2</v>
      </c>
    </row>
    <row r="120" spans="2:8">
      <c r="B120" s="58">
        <v>45474</v>
      </c>
      <c r="C120" s="33">
        <v>19.63</v>
      </c>
      <c r="D120" s="34">
        <f t="shared" si="2"/>
        <v>-4.8473097430925871E-2</v>
      </c>
      <c r="F120" s="58">
        <v>45474</v>
      </c>
      <c r="G120" s="33">
        <v>72026.149999999994</v>
      </c>
      <c r="H120" s="34">
        <f t="shared" si="3"/>
        <v>-7.4729445096319846E-3</v>
      </c>
    </row>
  </sheetData>
  <mergeCells count="5">
    <mergeCell ref="B8:E8"/>
    <mergeCell ref="B10:D10"/>
    <mergeCell ref="F10:H10"/>
    <mergeCell ref="B1:K4"/>
    <mergeCell ref="J12:K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DBD8-EEC0-419C-AD68-3CD3C6A4CAE1}">
  <sheetPr>
    <tabColor theme="4" tint="-0.499984740745262"/>
  </sheetPr>
  <dimension ref="A1:U120"/>
  <sheetViews>
    <sheetView showGridLines="0" topLeftCell="A6" workbookViewId="0">
      <selection activeCell="A8" sqref="A8:G120"/>
    </sheetView>
  </sheetViews>
  <sheetFormatPr defaultRowHeight="14.4"/>
  <cols>
    <col min="1" max="1" width="10.5546875" bestFit="1" customWidth="1"/>
    <col min="5" max="5" width="10.5546875" bestFit="1" customWidth="1"/>
    <col min="9" max="9" width="17.5546875" bestFit="1" customWidth="1"/>
  </cols>
  <sheetData>
    <row r="1" spans="1:14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4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4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4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4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</row>
    <row r="8" spans="1:14">
      <c r="A8" s="82" t="s">
        <v>215</v>
      </c>
      <c r="B8" s="82"/>
      <c r="C8" s="82"/>
      <c r="D8" s="82"/>
    </row>
    <row r="10" spans="1:14">
      <c r="A10" s="83" t="s">
        <v>716</v>
      </c>
      <c r="B10" s="83"/>
      <c r="C10" s="83"/>
      <c r="E10" s="83" t="s">
        <v>213</v>
      </c>
      <c r="F10" s="83"/>
      <c r="G10" s="83"/>
    </row>
    <row r="11" spans="1:14">
      <c r="M11" t="s">
        <v>188</v>
      </c>
    </row>
    <row r="12" spans="1:14" ht="15" thickBot="1">
      <c r="A12" s="49" t="s">
        <v>70</v>
      </c>
      <c r="B12" s="49" t="s">
        <v>71</v>
      </c>
      <c r="C12" s="50" t="s">
        <v>72</v>
      </c>
      <c r="D12" s="4"/>
      <c r="E12" s="49" t="s">
        <v>70</v>
      </c>
      <c r="F12" s="49" t="s">
        <v>71</v>
      </c>
      <c r="G12" s="50" t="s">
        <v>72</v>
      </c>
      <c r="I12" s="83" t="s">
        <v>73</v>
      </c>
      <c r="J12" s="83"/>
    </row>
    <row r="13" spans="1:14">
      <c r="A13" t="s">
        <v>222</v>
      </c>
      <c r="B13" s="33">
        <v>40.700000000000003</v>
      </c>
      <c r="E13" t="s">
        <v>222</v>
      </c>
      <c r="F13" s="33">
        <v>82269.78</v>
      </c>
      <c r="M13" s="57" t="s">
        <v>189</v>
      </c>
      <c r="N13" s="57"/>
    </row>
    <row r="14" spans="1:14">
      <c r="A14" t="s">
        <v>224</v>
      </c>
      <c r="B14" s="33">
        <v>43.95</v>
      </c>
      <c r="C14" s="34">
        <f>B14/B13-1</f>
        <v>7.9852579852579764E-2</v>
      </c>
      <c r="E14" t="s">
        <v>224</v>
      </c>
      <c r="F14" s="33">
        <v>81537.7</v>
      </c>
      <c r="G14" s="34">
        <f>F14/F13-1</f>
        <v>-8.8985287185646689E-3</v>
      </c>
      <c r="J14" t="s">
        <v>52</v>
      </c>
      <c r="M14" s="54" t="s">
        <v>190</v>
      </c>
      <c r="N14" s="54">
        <v>0.15973607162419529</v>
      </c>
    </row>
    <row r="15" spans="1:14">
      <c r="A15" s="58">
        <v>46327</v>
      </c>
      <c r="B15" s="33">
        <v>44.2</v>
      </c>
      <c r="C15" s="34">
        <f t="shared" ref="C15:C78" si="0">B15/B14-1</f>
        <v>5.6882821387940208E-3</v>
      </c>
      <c r="E15" s="58">
        <v>46327</v>
      </c>
      <c r="F15" s="33">
        <v>83570.350000000006</v>
      </c>
      <c r="G15" s="34">
        <f t="shared" ref="G15:G78" si="1">F15/F14-1</f>
        <v>2.4928959242166648E-2</v>
      </c>
      <c r="I15" s="51" t="s">
        <v>74</v>
      </c>
      <c r="J15" s="33">
        <f>N28</f>
        <v>0.69271189399689348</v>
      </c>
      <c r="M15" s="54" t="s">
        <v>191</v>
      </c>
      <c r="N15" s="54">
        <v>2.5515612577930044E-2</v>
      </c>
    </row>
    <row r="16" spans="1:14">
      <c r="A16" s="58">
        <v>46113</v>
      </c>
      <c r="B16" s="33">
        <v>40</v>
      </c>
      <c r="C16" s="34">
        <f t="shared" si="0"/>
        <v>-9.5022624434389247E-2</v>
      </c>
      <c r="E16" s="58">
        <v>46113</v>
      </c>
      <c r="F16" s="33">
        <v>83576.240000000005</v>
      </c>
      <c r="G16" s="34">
        <f t="shared" si="1"/>
        <v>7.0479542086498981E-5</v>
      </c>
      <c r="I16" t="s">
        <v>75</v>
      </c>
      <c r="J16" s="34">
        <v>0.75</v>
      </c>
      <c r="M16" s="54" t="s">
        <v>192</v>
      </c>
      <c r="N16" s="54">
        <v>1.6234808888196044E-2</v>
      </c>
    </row>
    <row r="17" spans="1:21">
      <c r="A17" t="s">
        <v>228</v>
      </c>
      <c r="B17" s="33">
        <v>41.75</v>
      </c>
      <c r="C17" s="34">
        <f t="shared" si="0"/>
        <v>4.3749999999999956E-2</v>
      </c>
      <c r="E17" t="s">
        <v>228</v>
      </c>
      <c r="F17" s="33">
        <v>85762.01</v>
      </c>
      <c r="G17" s="34">
        <f t="shared" si="1"/>
        <v>2.6153007122598382E-2</v>
      </c>
      <c r="J17" s="33"/>
      <c r="M17" s="54" t="s">
        <v>193</v>
      </c>
      <c r="N17" s="54">
        <v>7.1372970814414169E-2</v>
      </c>
    </row>
    <row r="18" spans="1:21" ht="15" thickBot="1">
      <c r="A18" t="s">
        <v>230</v>
      </c>
      <c r="B18" s="33">
        <v>40.04</v>
      </c>
      <c r="C18" s="34">
        <f t="shared" si="0"/>
        <v>-4.0958083832335346E-2</v>
      </c>
      <c r="E18" t="s">
        <v>230</v>
      </c>
      <c r="F18" s="33">
        <v>85041.45</v>
      </c>
      <c r="G18" s="34">
        <f t="shared" si="1"/>
        <v>-8.4018553203218937E-3</v>
      </c>
      <c r="I18" t="s">
        <v>76</v>
      </c>
      <c r="J18" s="33">
        <v>1</v>
      </c>
      <c r="M18" s="55" t="s">
        <v>194</v>
      </c>
      <c r="N18" s="55">
        <v>107</v>
      </c>
    </row>
    <row r="19" spans="1:21">
      <c r="A19" t="s">
        <v>232</v>
      </c>
      <c r="B19" s="33">
        <v>44.49</v>
      </c>
      <c r="C19" s="34">
        <f t="shared" si="0"/>
        <v>0.11113886113886129</v>
      </c>
      <c r="E19" t="s">
        <v>232</v>
      </c>
      <c r="F19" s="33">
        <v>84929.36</v>
      </c>
      <c r="G19" s="34">
        <f t="shared" si="1"/>
        <v>-1.3180631327428527E-3</v>
      </c>
      <c r="I19" t="s">
        <v>77</v>
      </c>
      <c r="J19" s="34">
        <v>0.25</v>
      </c>
    </row>
    <row r="20" spans="1:21" ht="15" thickBot="1">
      <c r="A20" s="58">
        <v>45850</v>
      </c>
      <c r="B20" s="33">
        <v>45.01</v>
      </c>
      <c r="C20" s="34">
        <f t="shared" si="0"/>
        <v>1.1688019779725778E-2</v>
      </c>
      <c r="E20" s="58">
        <v>45850</v>
      </c>
      <c r="F20" s="33">
        <v>85267.66</v>
      </c>
      <c r="G20" s="34">
        <f t="shared" si="1"/>
        <v>3.9833103652258117E-3</v>
      </c>
      <c r="M20" t="s">
        <v>195</v>
      </c>
    </row>
    <row r="21" spans="1:21">
      <c r="A21" t="s">
        <v>235</v>
      </c>
      <c r="B21" s="33">
        <v>46.99</v>
      </c>
      <c r="C21" s="34">
        <f t="shared" si="0"/>
        <v>4.3990224394579114E-2</v>
      </c>
      <c r="E21" t="s">
        <v>235</v>
      </c>
      <c r="F21" s="33">
        <v>85712.37</v>
      </c>
      <c r="G21" s="34">
        <f t="shared" si="1"/>
        <v>5.2154591787787474E-3</v>
      </c>
      <c r="I21" s="52" t="s">
        <v>78</v>
      </c>
      <c r="J21" s="53">
        <f>(J15*J16)+(J18*J19)</f>
        <v>0.76953392049767011</v>
      </c>
      <c r="M21" s="56"/>
      <c r="N21" s="56" t="s">
        <v>200</v>
      </c>
      <c r="O21" s="56" t="s">
        <v>201</v>
      </c>
      <c r="P21" s="56" t="s">
        <v>202</v>
      </c>
      <c r="Q21" s="56" t="s">
        <v>203</v>
      </c>
      <c r="R21" s="56" t="s">
        <v>204</v>
      </c>
    </row>
    <row r="22" spans="1:21">
      <c r="A22" t="s">
        <v>237</v>
      </c>
      <c r="B22" s="33">
        <v>46.9</v>
      </c>
      <c r="C22" s="34">
        <f t="shared" si="0"/>
        <v>-1.9153011278996157E-3</v>
      </c>
      <c r="E22" t="s">
        <v>237</v>
      </c>
      <c r="F22" s="33">
        <v>85706.67</v>
      </c>
      <c r="G22" s="34">
        <f t="shared" si="1"/>
        <v>-6.6501486308156998E-5</v>
      </c>
      <c r="M22" s="54" t="s">
        <v>196</v>
      </c>
      <c r="N22" s="54">
        <v>1</v>
      </c>
      <c r="O22" s="54">
        <v>1.4005156336337699E-2</v>
      </c>
      <c r="P22" s="54">
        <v>1.4005156336337699E-2</v>
      </c>
      <c r="Q22" s="54">
        <v>2.7492891166477587</v>
      </c>
      <c r="R22" s="54">
        <v>0.10028234658609188</v>
      </c>
    </row>
    <row r="23" spans="1:21">
      <c r="A23" t="s">
        <v>239</v>
      </c>
      <c r="B23" s="33">
        <v>46.82</v>
      </c>
      <c r="C23" s="34">
        <f t="shared" si="0"/>
        <v>-1.7057569296374808E-3</v>
      </c>
      <c r="E23" t="s">
        <v>239</v>
      </c>
      <c r="F23" s="33">
        <v>85231.92</v>
      </c>
      <c r="G23" s="34">
        <f t="shared" si="1"/>
        <v>-5.5392421616660137E-3</v>
      </c>
      <c r="M23" s="54" t="s">
        <v>197</v>
      </c>
      <c r="N23" s="54">
        <v>105</v>
      </c>
      <c r="O23" s="54">
        <v>0.53488060110189772</v>
      </c>
      <c r="P23" s="54">
        <v>5.094100962875216E-3</v>
      </c>
      <c r="Q23" s="54"/>
      <c r="R23" s="54"/>
    </row>
    <row r="24" spans="1:21" ht="15" thickBot="1">
      <c r="A24" s="58">
        <v>45911</v>
      </c>
      <c r="B24" s="33">
        <v>44.88</v>
      </c>
      <c r="C24" s="34">
        <f t="shared" si="0"/>
        <v>-4.1435284066638101E-2</v>
      </c>
      <c r="E24" s="58">
        <v>45911</v>
      </c>
      <c r="F24" s="33">
        <v>84562.78</v>
      </c>
      <c r="G24" s="34">
        <f t="shared" si="1"/>
        <v>-7.8508145774494054E-3</v>
      </c>
      <c r="M24" s="55" t="s">
        <v>198</v>
      </c>
      <c r="N24" s="55">
        <v>106</v>
      </c>
      <c r="O24" s="55">
        <v>0.54888575743823542</v>
      </c>
      <c r="P24" s="55"/>
      <c r="Q24" s="55"/>
      <c r="R24" s="55"/>
    </row>
    <row r="25" spans="1:21" ht="15" thickBot="1">
      <c r="A25" s="58">
        <v>45699</v>
      </c>
      <c r="B25" s="33">
        <v>46.86</v>
      </c>
      <c r="C25" s="34">
        <f t="shared" si="0"/>
        <v>4.4117647058823373E-2</v>
      </c>
      <c r="E25" s="58">
        <v>45699</v>
      </c>
      <c r="F25" s="33">
        <v>83216.28</v>
      </c>
      <c r="G25" s="34">
        <f t="shared" si="1"/>
        <v>-1.5923081052917176E-2</v>
      </c>
    </row>
    <row r="26" spans="1:21">
      <c r="A26" t="s">
        <v>243</v>
      </c>
      <c r="B26" s="33">
        <v>38.56</v>
      </c>
      <c r="C26" s="34">
        <f t="shared" si="0"/>
        <v>-0.17712334613743064</v>
      </c>
      <c r="E26" t="s">
        <v>243</v>
      </c>
      <c r="F26" s="33">
        <v>83938.71</v>
      </c>
      <c r="G26" s="34">
        <f t="shared" si="1"/>
        <v>8.6813541773318459E-3</v>
      </c>
      <c r="M26" s="56"/>
      <c r="N26" s="56" t="s">
        <v>205</v>
      </c>
      <c r="O26" s="56" t="s">
        <v>193</v>
      </c>
      <c r="P26" s="56" t="s">
        <v>206</v>
      </c>
      <c r="Q26" s="56" t="s">
        <v>207</v>
      </c>
      <c r="R26" s="56" t="s">
        <v>208</v>
      </c>
      <c r="S26" s="56" t="s">
        <v>209</v>
      </c>
      <c r="T26" s="56" t="s">
        <v>210</v>
      </c>
      <c r="U26" s="56" t="s">
        <v>211</v>
      </c>
    </row>
    <row r="27" spans="1:21">
      <c r="A27" t="s">
        <v>245</v>
      </c>
      <c r="B27" s="33">
        <v>37.090000000000003</v>
      </c>
      <c r="C27" s="34">
        <f t="shared" si="0"/>
        <v>-3.8122406639004125E-2</v>
      </c>
      <c r="E27" t="s">
        <v>245</v>
      </c>
      <c r="F27" s="33">
        <v>84211.88</v>
      </c>
      <c r="G27" s="34">
        <f t="shared" si="1"/>
        <v>3.2543983580399782E-3</v>
      </c>
      <c r="M27" s="54" t="s">
        <v>199</v>
      </c>
      <c r="N27" s="54">
        <v>2.0539450348404727E-3</v>
      </c>
      <c r="O27" s="54">
        <v>6.9153386576374168E-3</v>
      </c>
      <c r="P27" s="54">
        <v>0.29701293552298574</v>
      </c>
      <c r="Q27" s="54">
        <v>0.76704340107043656</v>
      </c>
      <c r="R27" s="54">
        <v>-1.1657894078988332E-2</v>
      </c>
      <c r="S27" s="54">
        <v>1.5765784148669276E-2</v>
      </c>
      <c r="T27" s="54">
        <v>-1.1657894078988332E-2</v>
      </c>
      <c r="U27" s="54">
        <v>1.5765784148669276E-2</v>
      </c>
    </row>
    <row r="28" spans="1:21" ht="15" thickBot="1">
      <c r="A28" s="58">
        <v>46001</v>
      </c>
      <c r="B28" s="33">
        <v>36.64</v>
      </c>
      <c r="C28" s="34">
        <f t="shared" si="0"/>
        <v>-1.2132650310056725E-2</v>
      </c>
      <c r="E28" s="58">
        <v>46001</v>
      </c>
      <c r="F28" s="33">
        <v>83952.19</v>
      </c>
      <c r="G28" s="34">
        <f t="shared" si="1"/>
        <v>-3.083769178410467E-3</v>
      </c>
      <c r="M28" s="55" t="s">
        <v>212</v>
      </c>
      <c r="N28" s="55">
        <v>0.69271189399689348</v>
      </c>
      <c r="O28" s="55">
        <v>0.41777499067011392</v>
      </c>
      <c r="P28" s="55">
        <v>1.6580980419286921</v>
      </c>
      <c r="Q28" s="55">
        <v>0.10028234658609188</v>
      </c>
      <c r="R28" s="55">
        <v>-0.13565873851339139</v>
      </c>
      <c r="S28" s="55">
        <v>1.5210825265071783</v>
      </c>
      <c r="T28" s="55">
        <v>-0.13565873851339139</v>
      </c>
      <c r="U28" s="55">
        <v>1.5210825265071783</v>
      </c>
    </row>
    <row r="29" spans="1:21">
      <c r="A29" s="58">
        <v>45787</v>
      </c>
      <c r="B29" s="33">
        <v>36</v>
      </c>
      <c r="C29" s="34">
        <f t="shared" si="0"/>
        <v>-1.7467248908296984E-2</v>
      </c>
      <c r="E29" s="58">
        <v>45787</v>
      </c>
      <c r="F29" s="33">
        <v>82500.820000000007</v>
      </c>
      <c r="G29" s="34">
        <f t="shared" si="1"/>
        <v>-1.7288054069822256E-2</v>
      </c>
    </row>
    <row r="30" spans="1:21">
      <c r="A30" t="s">
        <v>249</v>
      </c>
      <c r="B30" s="33">
        <v>35</v>
      </c>
      <c r="C30" s="34">
        <f t="shared" si="0"/>
        <v>-2.777777777777779E-2</v>
      </c>
      <c r="E30" t="s">
        <v>249</v>
      </c>
      <c r="F30" s="33">
        <v>81207.17</v>
      </c>
      <c r="G30" s="34">
        <f t="shared" si="1"/>
        <v>-1.5680450206434382E-2</v>
      </c>
    </row>
    <row r="31" spans="1:21">
      <c r="A31" t="s">
        <v>251</v>
      </c>
      <c r="B31" s="33">
        <v>36.229999999999997</v>
      </c>
      <c r="C31" s="34">
        <f t="shared" si="0"/>
        <v>3.5142857142857142E-2</v>
      </c>
      <c r="E31" t="s">
        <v>251</v>
      </c>
      <c r="F31" s="33">
        <v>80426.460000000006</v>
      </c>
      <c r="G31" s="34">
        <f t="shared" si="1"/>
        <v>-9.613806268584324E-3</v>
      </c>
    </row>
    <row r="32" spans="1:21">
      <c r="A32" t="s">
        <v>253</v>
      </c>
      <c r="B32" s="33">
        <v>38</v>
      </c>
      <c r="C32" s="34">
        <f t="shared" si="0"/>
        <v>4.8854540436102711E-2</v>
      </c>
      <c r="E32" t="s">
        <v>253</v>
      </c>
      <c r="F32" s="33">
        <v>82626.23</v>
      </c>
      <c r="G32" s="34">
        <f t="shared" si="1"/>
        <v>2.7351321940565221E-2</v>
      </c>
    </row>
    <row r="33" spans="1:7">
      <c r="A33" s="58">
        <v>45847</v>
      </c>
      <c r="B33" s="33">
        <v>38.08</v>
      </c>
      <c r="C33" s="34">
        <f t="shared" si="0"/>
        <v>2.1052631578946102E-3</v>
      </c>
      <c r="E33" s="58">
        <v>45847</v>
      </c>
      <c r="F33" s="33">
        <v>81904.7</v>
      </c>
      <c r="G33" s="34">
        <f t="shared" si="1"/>
        <v>-8.7324569933784346E-3</v>
      </c>
    </row>
    <row r="34" spans="1:7">
      <c r="A34" t="s">
        <v>256</v>
      </c>
      <c r="B34" s="33">
        <v>36.5</v>
      </c>
      <c r="C34" s="34">
        <f t="shared" si="0"/>
        <v>-4.1491596638655426E-2</v>
      </c>
      <c r="E34" t="s">
        <v>256</v>
      </c>
      <c r="F34" s="33">
        <v>80710.759999999995</v>
      </c>
      <c r="G34" s="34">
        <f t="shared" si="1"/>
        <v>-1.4577185436244866E-2</v>
      </c>
    </row>
    <row r="35" spans="1:7">
      <c r="A35" t="s">
        <v>258</v>
      </c>
      <c r="B35" s="33">
        <v>35.86</v>
      </c>
      <c r="C35" s="34">
        <f t="shared" si="0"/>
        <v>-1.7534246575342527E-2</v>
      </c>
      <c r="E35" t="s">
        <v>258</v>
      </c>
      <c r="F35" s="33">
        <v>79809.649999999994</v>
      </c>
      <c r="G35" s="34">
        <f t="shared" si="1"/>
        <v>-1.116468237940027E-2</v>
      </c>
    </row>
    <row r="36" spans="1:7">
      <c r="A36" t="s">
        <v>260</v>
      </c>
      <c r="B36" s="33">
        <v>35.659999999999997</v>
      </c>
      <c r="C36" s="34">
        <f t="shared" si="0"/>
        <v>-5.5772448410486009E-3</v>
      </c>
      <c r="E36" t="s">
        <v>260</v>
      </c>
      <c r="F36" s="33">
        <v>81306.850000000006</v>
      </c>
      <c r="G36" s="34">
        <f t="shared" si="1"/>
        <v>1.8759636209405794E-2</v>
      </c>
    </row>
    <row r="37" spans="1:7">
      <c r="A37" s="58">
        <v>45938</v>
      </c>
      <c r="B37" s="33">
        <v>35.21</v>
      </c>
      <c r="C37" s="34">
        <f t="shared" si="0"/>
        <v>-1.2619181155355985E-2</v>
      </c>
      <c r="E37" s="58">
        <v>45938</v>
      </c>
      <c r="F37" s="33">
        <v>80597.66</v>
      </c>
      <c r="G37" s="34">
        <f t="shared" si="1"/>
        <v>-8.7223893189811719E-3</v>
      </c>
    </row>
    <row r="38" spans="1:7">
      <c r="A38" s="58">
        <v>45724</v>
      </c>
      <c r="B38" s="33">
        <v>33.619999999999997</v>
      </c>
      <c r="C38" s="34">
        <f t="shared" si="0"/>
        <v>-4.5157625674524415E-2</v>
      </c>
      <c r="E38" s="58">
        <v>45724</v>
      </c>
      <c r="F38" s="33">
        <v>79857.789999999994</v>
      </c>
      <c r="G38" s="34">
        <f t="shared" si="1"/>
        <v>-9.1797950461590672E-3</v>
      </c>
    </row>
    <row r="39" spans="1:7">
      <c r="A39" t="s">
        <v>264</v>
      </c>
      <c r="B39" s="33">
        <v>37.99</v>
      </c>
      <c r="C39" s="34">
        <f t="shared" si="0"/>
        <v>0.12998215348007158</v>
      </c>
      <c r="E39" t="s">
        <v>264</v>
      </c>
      <c r="F39" s="33">
        <v>80599.91</v>
      </c>
      <c r="G39" s="34">
        <f t="shared" si="1"/>
        <v>9.2930195037954633E-3</v>
      </c>
    </row>
    <row r="40" spans="1:7">
      <c r="A40" t="s">
        <v>266</v>
      </c>
      <c r="B40" s="33">
        <v>44.56</v>
      </c>
      <c r="C40" s="34">
        <f t="shared" si="0"/>
        <v>0.17294024743353509</v>
      </c>
      <c r="E40" t="s">
        <v>266</v>
      </c>
      <c r="F40" s="33">
        <v>81463.09</v>
      </c>
      <c r="G40" s="34">
        <f t="shared" si="1"/>
        <v>1.0709441238829998E-2</v>
      </c>
    </row>
    <row r="41" spans="1:7">
      <c r="A41" t="s">
        <v>268</v>
      </c>
      <c r="B41" s="33">
        <v>39.090000000000003</v>
      </c>
      <c r="C41" s="34">
        <f t="shared" si="0"/>
        <v>-0.12275583482944341</v>
      </c>
      <c r="E41" t="s">
        <v>268</v>
      </c>
      <c r="F41" s="33">
        <v>81757.73</v>
      </c>
      <c r="G41" s="34">
        <f t="shared" si="1"/>
        <v>3.6168527366198244E-3</v>
      </c>
    </row>
    <row r="42" spans="1:7">
      <c r="A42" s="58">
        <v>45815</v>
      </c>
      <c r="B42" s="33">
        <v>28.39</v>
      </c>
      <c r="C42" s="34">
        <f t="shared" si="0"/>
        <v>-0.27372729598362755</v>
      </c>
      <c r="E42" s="58">
        <v>45815</v>
      </c>
      <c r="F42" s="33">
        <v>82500.47</v>
      </c>
      <c r="G42" s="34">
        <f t="shared" si="1"/>
        <v>9.0846455741862009E-3</v>
      </c>
    </row>
    <row r="43" spans="1:7">
      <c r="A43" t="s">
        <v>271</v>
      </c>
      <c r="B43" s="33">
        <v>26.37</v>
      </c>
      <c r="C43" s="34">
        <f t="shared" si="0"/>
        <v>-7.115181401902082E-2</v>
      </c>
      <c r="E43" t="s">
        <v>271</v>
      </c>
      <c r="F43" s="33">
        <v>83432.89</v>
      </c>
      <c r="G43" s="34">
        <f t="shared" si="1"/>
        <v>1.1301996218930688E-2</v>
      </c>
    </row>
    <row r="44" spans="1:7">
      <c r="A44" t="s">
        <v>273</v>
      </c>
      <c r="B44" s="33">
        <v>27.98</v>
      </c>
      <c r="C44" s="34">
        <f t="shared" si="0"/>
        <v>6.1054228289723067E-2</v>
      </c>
      <c r="E44" t="s">
        <v>273</v>
      </c>
      <c r="F44" s="33">
        <v>84058.9</v>
      </c>
      <c r="G44" s="34">
        <f t="shared" si="1"/>
        <v>7.5031561294351956E-3</v>
      </c>
    </row>
    <row r="45" spans="1:7">
      <c r="A45" t="s">
        <v>275</v>
      </c>
      <c r="B45" s="33">
        <v>27.03</v>
      </c>
      <c r="C45" s="34">
        <f t="shared" si="0"/>
        <v>-3.3952823445318026E-2</v>
      </c>
      <c r="E45" t="s">
        <v>275</v>
      </c>
      <c r="F45" s="33">
        <v>82408.17</v>
      </c>
      <c r="G45" s="34">
        <f t="shared" si="1"/>
        <v>-1.9637777796283284E-2</v>
      </c>
    </row>
    <row r="46" spans="1:7">
      <c r="A46" s="58">
        <v>45875</v>
      </c>
      <c r="B46" s="33">
        <v>28.43</v>
      </c>
      <c r="C46" s="34">
        <f t="shared" si="0"/>
        <v>5.179430262671092E-2</v>
      </c>
      <c r="E46" s="58">
        <v>45875</v>
      </c>
      <c r="F46" s="33">
        <v>81118.600000000006</v>
      </c>
      <c r="G46" s="34">
        <f t="shared" si="1"/>
        <v>-1.5648569795931544E-2</v>
      </c>
    </row>
    <row r="47" spans="1:7">
      <c r="A47" s="58">
        <v>45663</v>
      </c>
      <c r="B47" s="33">
        <v>26</v>
      </c>
      <c r="C47" s="34">
        <f t="shared" si="0"/>
        <v>-8.5473091804431967E-2</v>
      </c>
      <c r="E47" s="58">
        <v>45663</v>
      </c>
      <c r="F47" s="33">
        <v>82188.990000000005</v>
      </c>
      <c r="G47" s="34">
        <f t="shared" si="1"/>
        <v>1.319537072878485E-2</v>
      </c>
    </row>
    <row r="48" spans="1:7">
      <c r="A48" t="s">
        <v>279</v>
      </c>
      <c r="B48" s="33">
        <v>25.09</v>
      </c>
      <c r="C48" s="34">
        <f t="shared" si="0"/>
        <v>-3.5000000000000031E-2</v>
      </c>
      <c r="E48" t="s">
        <v>279</v>
      </c>
      <c r="F48" s="33">
        <v>81451.009999999995</v>
      </c>
      <c r="G48" s="34">
        <f t="shared" si="1"/>
        <v>-8.9790615507017169E-3</v>
      </c>
    </row>
    <row r="49" spans="1:7">
      <c r="A49" t="s">
        <v>281</v>
      </c>
      <c r="B49" s="33">
        <v>25</v>
      </c>
      <c r="C49" s="34">
        <f t="shared" si="0"/>
        <v>-3.5870864886409226E-3</v>
      </c>
      <c r="E49" t="s">
        <v>281</v>
      </c>
      <c r="F49" s="33">
        <v>81721.08</v>
      </c>
      <c r="G49" s="34">
        <f t="shared" si="1"/>
        <v>3.3157354340971334E-3</v>
      </c>
    </row>
    <row r="50" spans="1:7">
      <c r="A50" s="58">
        <v>45966</v>
      </c>
      <c r="B50" s="33">
        <v>25.45</v>
      </c>
      <c r="C50" s="34">
        <f t="shared" si="0"/>
        <v>1.8000000000000016E-2</v>
      </c>
      <c r="E50" s="58">
        <v>45966</v>
      </c>
      <c r="F50" s="33">
        <v>82330.59</v>
      </c>
      <c r="G50" s="34">
        <f t="shared" si="1"/>
        <v>7.4584183175259167E-3</v>
      </c>
    </row>
    <row r="51" spans="1:7">
      <c r="A51" s="58">
        <v>45752</v>
      </c>
      <c r="B51" s="33">
        <v>25.3</v>
      </c>
      <c r="C51" s="34">
        <f t="shared" si="0"/>
        <v>-5.893909626718985E-3</v>
      </c>
      <c r="E51" s="58">
        <v>45752</v>
      </c>
      <c r="F51" s="33">
        <v>79454.47</v>
      </c>
      <c r="G51" s="34">
        <f t="shared" si="1"/>
        <v>-3.4933795567358317E-2</v>
      </c>
    </row>
    <row r="52" spans="1:7">
      <c r="A52" t="s">
        <v>285</v>
      </c>
      <c r="B52" s="33">
        <v>25.3</v>
      </c>
      <c r="C52" s="34">
        <f t="shared" si="0"/>
        <v>0</v>
      </c>
      <c r="E52" t="s">
        <v>285</v>
      </c>
      <c r="F52" s="33">
        <v>80501.990000000005</v>
      </c>
      <c r="G52" s="34">
        <f t="shared" si="1"/>
        <v>1.3183902680365289E-2</v>
      </c>
    </row>
    <row r="53" spans="1:7">
      <c r="A53" t="s">
        <v>287</v>
      </c>
      <c r="B53" s="33">
        <v>25.25</v>
      </c>
      <c r="C53" s="34">
        <f t="shared" si="0"/>
        <v>-1.9762845849802257E-3</v>
      </c>
      <c r="E53" t="s">
        <v>287</v>
      </c>
      <c r="F53" s="33">
        <v>79212.53</v>
      </c>
      <c r="G53" s="34">
        <f t="shared" si="1"/>
        <v>-1.6017740679454051E-2</v>
      </c>
    </row>
    <row r="54" spans="1:7">
      <c r="A54" t="s">
        <v>289</v>
      </c>
      <c r="B54" s="33">
        <v>25.5</v>
      </c>
      <c r="C54" s="34">
        <f t="shared" si="0"/>
        <v>9.9009900990099098E-3</v>
      </c>
      <c r="E54" t="s">
        <v>289</v>
      </c>
      <c r="F54" s="33">
        <v>78553.2</v>
      </c>
      <c r="G54" s="34">
        <f t="shared" si="1"/>
        <v>-8.323556891820072E-3</v>
      </c>
    </row>
    <row r="55" spans="1:7">
      <c r="A55" s="58">
        <v>45812</v>
      </c>
      <c r="B55" s="33">
        <v>25.43</v>
      </c>
      <c r="C55" s="34">
        <f t="shared" si="0"/>
        <v>-2.7450980392157431E-3</v>
      </c>
      <c r="E55" s="58">
        <v>45812</v>
      </c>
      <c r="F55" s="33">
        <v>75157.259999999995</v>
      </c>
      <c r="G55" s="34">
        <f t="shared" si="1"/>
        <v>-4.3231084156978961E-2</v>
      </c>
    </row>
    <row r="56" spans="1:7">
      <c r="A56" t="s">
        <v>292</v>
      </c>
      <c r="B56" s="33">
        <v>25.49</v>
      </c>
      <c r="C56" s="34">
        <f t="shared" si="0"/>
        <v>2.3594180102239903E-3</v>
      </c>
      <c r="E56" t="s">
        <v>292</v>
      </c>
      <c r="F56" s="33">
        <v>75364.69</v>
      </c>
      <c r="G56" s="34">
        <f t="shared" si="1"/>
        <v>2.7599462779777095E-3</v>
      </c>
    </row>
    <row r="57" spans="1:7">
      <c r="A57" t="s">
        <v>294</v>
      </c>
      <c r="B57" s="33">
        <v>25.3</v>
      </c>
      <c r="C57" s="34">
        <f t="shared" si="0"/>
        <v>-7.4539034915652724E-3</v>
      </c>
      <c r="E57" t="s">
        <v>294</v>
      </c>
      <c r="F57" s="33">
        <v>77414.92</v>
      </c>
      <c r="G57" s="34">
        <f t="shared" si="1"/>
        <v>2.7204119064246024E-2</v>
      </c>
    </row>
    <row r="58" spans="1:7">
      <c r="A58" t="s">
        <v>296</v>
      </c>
      <c r="B58" s="33">
        <v>25.5</v>
      </c>
      <c r="C58" s="34">
        <f t="shared" si="0"/>
        <v>7.905138339920903E-3</v>
      </c>
      <c r="E58" t="s">
        <v>296</v>
      </c>
      <c r="F58" s="33">
        <v>76905.509999999995</v>
      </c>
      <c r="G58" s="34">
        <f t="shared" si="1"/>
        <v>-6.5802561056705899E-3</v>
      </c>
    </row>
    <row r="59" spans="1:7">
      <c r="A59" s="58">
        <v>45903</v>
      </c>
      <c r="B59" s="33">
        <v>25.5</v>
      </c>
      <c r="C59" s="34">
        <f t="shared" si="0"/>
        <v>0</v>
      </c>
      <c r="E59" s="58">
        <v>45903</v>
      </c>
      <c r="F59" s="33">
        <v>73828.91</v>
      </c>
      <c r="G59" s="34">
        <f t="shared" si="1"/>
        <v>-4.0004935927217544E-2</v>
      </c>
    </row>
    <row r="60" spans="1:7">
      <c r="A60" s="58">
        <v>45691</v>
      </c>
      <c r="B60" s="33">
        <v>25.33</v>
      </c>
      <c r="C60" s="34">
        <f t="shared" si="0"/>
        <v>-6.6666666666667096E-3</v>
      </c>
      <c r="E60" s="58">
        <v>45691</v>
      </c>
      <c r="F60" s="33">
        <v>74332.58</v>
      </c>
      <c r="G60" s="34">
        <f t="shared" si="1"/>
        <v>6.8221242870847298E-3</v>
      </c>
    </row>
    <row r="61" spans="1:7">
      <c r="A61" t="s">
        <v>300</v>
      </c>
      <c r="B61" s="33">
        <v>25.45</v>
      </c>
      <c r="C61" s="34">
        <f t="shared" si="0"/>
        <v>4.7374654559810825E-3</v>
      </c>
      <c r="E61" t="s">
        <v>300</v>
      </c>
      <c r="F61" s="33">
        <v>73198.100000000006</v>
      </c>
      <c r="G61" s="34">
        <f t="shared" si="1"/>
        <v>-1.5262217455656701E-2</v>
      </c>
    </row>
    <row r="62" spans="1:7">
      <c r="A62" t="s">
        <v>302</v>
      </c>
      <c r="B62" s="33">
        <v>25.41</v>
      </c>
      <c r="C62" s="34">
        <f t="shared" si="0"/>
        <v>-1.5717092337916849E-3</v>
      </c>
      <c r="E62" t="s">
        <v>302</v>
      </c>
      <c r="F62" s="33">
        <v>75311.06</v>
      </c>
      <c r="G62" s="34">
        <f t="shared" si="1"/>
        <v>2.8866323032974872E-2</v>
      </c>
    </row>
    <row r="63" spans="1:7">
      <c r="A63" s="58">
        <v>45902</v>
      </c>
      <c r="B63" s="33">
        <v>25.5</v>
      </c>
      <c r="C63" s="34">
        <f t="shared" si="0"/>
        <v>3.5419126328217754E-3</v>
      </c>
      <c r="E63" s="58">
        <v>45902</v>
      </c>
      <c r="F63" s="33">
        <v>75939.210000000006</v>
      </c>
      <c r="G63" s="34">
        <f t="shared" si="1"/>
        <v>8.3407403905881861E-3</v>
      </c>
    </row>
    <row r="64" spans="1:7">
      <c r="A64" s="58">
        <v>45690</v>
      </c>
      <c r="B64" s="33">
        <v>25.35</v>
      </c>
      <c r="C64" s="34">
        <f t="shared" si="0"/>
        <v>-5.8823529411764497E-3</v>
      </c>
      <c r="E64" s="58">
        <v>45690</v>
      </c>
      <c r="F64" s="33">
        <v>77860.19</v>
      </c>
      <c r="G64" s="34">
        <f t="shared" si="1"/>
        <v>2.5296286332185947E-2</v>
      </c>
    </row>
    <row r="65" spans="1:7">
      <c r="A65" t="s">
        <v>306</v>
      </c>
      <c r="B65" s="33">
        <v>25.2</v>
      </c>
      <c r="C65" s="34">
        <f t="shared" si="0"/>
        <v>-5.9171597633136397E-3</v>
      </c>
      <c r="E65" t="s">
        <v>306</v>
      </c>
      <c r="F65" s="33">
        <v>76190.460000000006</v>
      </c>
      <c r="G65" s="34">
        <f t="shared" si="1"/>
        <v>-2.1445234079187303E-2</v>
      </c>
    </row>
    <row r="66" spans="1:7">
      <c r="A66" t="s">
        <v>308</v>
      </c>
      <c r="B66" s="33">
        <v>30.1</v>
      </c>
      <c r="C66" s="34">
        <f t="shared" si="0"/>
        <v>0.19444444444444464</v>
      </c>
      <c r="E66" t="s">
        <v>308</v>
      </c>
      <c r="F66" s="33">
        <v>76619.33</v>
      </c>
      <c r="G66" s="34">
        <f t="shared" si="1"/>
        <v>5.6289199461454498E-3</v>
      </c>
    </row>
    <row r="67" spans="1:7">
      <c r="A67" s="58">
        <v>45992</v>
      </c>
      <c r="B67" s="33">
        <v>36.090000000000003</v>
      </c>
      <c r="C67" s="34">
        <f t="shared" si="0"/>
        <v>0.19900332225913631</v>
      </c>
      <c r="E67" s="58">
        <v>45992</v>
      </c>
      <c r="F67" s="33">
        <v>77378.91</v>
      </c>
      <c r="G67" s="34">
        <f t="shared" si="1"/>
        <v>9.9136862721196373E-3</v>
      </c>
    </row>
    <row r="68" spans="1:7">
      <c r="A68" s="58">
        <v>45778</v>
      </c>
      <c r="B68" s="33">
        <v>41.44</v>
      </c>
      <c r="C68" s="34">
        <f t="shared" si="0"/>
        <v>0.1482405098365196</v>
      </c>
      <c r="E68" s="58">
        <v>45778</v>
      </c>
      <c r="F68" s="33">
        <v>79223.11</v>
      </c>
      <c r="G68" s="34">
        <f t="shared" si="1"/>
        <v>2.3833367515774029E-2</v>
      </c>
    </row>
    <row r="69" spans="1:7">
      <c r="A69" t="s">
        <v>312</v>
      </c>
      <c r="B69" s="33">
        <v>48.5</v>
      </c>
      <c r="C69" s="34">
        <f t="shared" si="0"/>
        <v>0.17036679536679533</v>
      </c>
      <c r="E69" t="s">
        <v>312</v>
      </c>
      <c r="F69" s="33">
        <v>78699.070000000007</v>
      </c>
      <c r="G69" s="34">
        <f t="shared" si="1"/>
        <v>-6.6147365333170116E-3</v>
      </c>
    </row>
    <row r="70" spans="1:7">
      <c r="A70" t="s">
        <v>314</v>
      </c>
      <c r="B70" s="33">
        <v>57.5</v>
      </c>
      <c r="C70" s="34">
        <f t="shared" si="0"/>
        <v>0.18556701030927836</v>
      </c>
      <c r="E70" t="s">
        <v>314</v>
      </c>
      <c r="F70" s="33">
        <v>78041.59</v>
      </c>
      <c r="G70" s="34">
        <f t="shared" si="1"/>
        <v>-8.3543553945428783E-3</v>
      </c>
    </row>
    <row r="71" spans="1:7">
      <c r="A71" t="s">
        <v>316</v>
      </c>
      <c r="B71" s="33">
        <v>67</v>
      </c>
      <c r="C71" s="34">
        <f t="shared" si="0"/>
        <v>0.16521739130434776</v>
      </c>
      <c r="E71" t="s">
        <v>316</v>
      </c>
      <c r="F71" s="33">
        <v>82133.119999999995</v>
      </c>
      <c r="G71" s="34">
        <f t="shared" si="1"/>
        <v>5.2427558177633227E-2</v>
      </c>
    </row>
    <row r="72" spans="1:7">
      <c r="A72" s="58">
        <v>45516</v>
      </c>
      <c r="B72" s="33">
        <v>67.5</v>
      </c>
      <c r="C72" s="34">
        <f t="shared" si="0"/>
        <v>7.4626865671640896E-3</v>
      </c>
      <c r="E72" s="58">
        <v>45516</v>
      </c>
      <c r="F72" s="33">
        <v>81709.119999999995</v>
      </c>
      <c r="G72" s="34">
        <f t="shared" si="1"/>
        <v>-5.162351071041793E-3</v>
      </c>
    </row>
    <row r="73" spans="1:7">
      <c r="A73" s="58">
        <v>45303</v>
      </c>
      <c r="B73" s="33">
        <v>62.45</v>
      </c>
      <c r="C73" s="34">
        <f t="shared" si="0"/>
        <v>-7.4814814814814778E-2</v>
      </c>
      <c r="E73" s="58">
        <v>45303</v>
      </c>
      <c r="F73" s="33">
        <v>79802.789999999994</v>
      </c>
      <c r="G73" s="34">
        <f t="shared" si="1"/>
        <v>-2.3330688177770176E-2</v>
      </c>
    </row>
    <row r="74" spans="1:7">
      <c r="A74" t="s">
        <v>320</v>
      </c>
      <c r="B74" s="33">
        <v>62.1</v>
      </c>
      <c r="C74" s="34">
        <f t="shared" si="0"/>
        <v>-5.6044835868694909E-3</v>
      </c>
      <c r="E74" t="s">
        <v>320</v>
      </c>
      <c r="F74" s="33">
        <v>79117.11</v>
      </c>
      <c r="G74" s="34">
        <f t="shared" si="1"/>
        <v>-8.592180799693705E-3</v>
      </c>
    </row>
    <row r="75" spans="1:7">
      <c r="A75" t="s">
        <v>322</v>
      </c>
      <c r="B75" s="33">
        <v>62.4</v>
      </c>
      <c r="C75" s="34">
        <f t="shared" si="0"/>
        <v>4.8309178743961567E-3</v>
      </c>
      <c r="E75" t="s">
        <v>322</v>
      </c>
      <c r="F75" s="33">
        <v>77580.31</v>
      </c>
      <c r="G75" s="34">
        <f t="shared" si="1"/>
        <v>-1.9424369772859551E-2</v>
      </c>
    </row>
    <row r="76" spans="1:7">
      <c r="A76" s="58">
        <v>45576</v>
      </c>
      <c r="B76" s="33">
        <v>62.5</v>
      </c>
      <c r="C76" s="34">
        <f t="shared" si="0"/>
        <v>1.6025641025640969E-3</v>
      </c>
      <c r="E76" s="58">
        <v>45576</v>
      </c>
      <c r="F76" s="33">
        <v>79486.320000000007</v>
      </c>
      <c r="G76" s="34">
        <f t="shared" si="1"/>
        <v>2.4568218404902087E-2</v>
      </c>
    </row>
    <row r="77" spans="1:7">
      <c r="A77" s="58">
        <v>45362</v>
      </c>
      <c r="B77" s="33">
        <v>62.8</v>
      </c>
      <c r="C77" s="34">
        <f t="shared" si="0"/>
        <v>4.7999999999999154E-3</v>
      </c>
      <c r="E77" s="58">
        <v>45362</v>
      </c>
      <c r="F77" s="33">
        <v>79724.12</v>
      </c>
      <c r="G77" s="34">
        <f t="shared" si="1"/>
        <v>2.9917097684228899E-3</v>
      </c>
    </row>
    <row r="78" spans="1:7">
      <c r="A78" t="s">
        <v>326</v>
      </c>
      <c r="B78" s="33">
        <v>63.11</v>
      </c>
      <c r="C78" s="34">
        <f t="shared" si="0"/>
        <v>4.9363057324840476E-3</v>
      </c>
      <c r="E78" t="s">
        <v>326</v>
      </c>
      <c r="F78" s="33">
        <v>79402.289999999994</v>
      </c>
      <c r="G78" s="34">
        <f t="shared" si="1"/>
        <v>-4.0367958906288859E-3</v>
      </c>
    </row>
    <row r="79" spans="1:7">
      <c r="A79" t="s">
        <v>328</v>
      </c>
      <c r="B79" s="33">
        <v>63.05</v>
      </c>
      <c r="C79" s="34">
        <f t="shared" ref="C79:C120" si="2">B79/B78-1</f>
        <v>-9.5072096339732237E-4</v>
      </c>
      <c r="E79" t="s">
        <v>328</v>
      </c>
      <c r="F79" s="33">
        <v>81224.75</v>
      </c>
      <c r="G79" s="34">
        <f t="shared" ref="G79:G120" si="3">F79/F78-1</f>
        <v>2.2952234752927181E-2</v>
      </c>
    </row>
    <row r="80" spans="1:7">
      <c r="A80" t="s">
        <v>330</v>
      </c>
      <c r="B80" s="33">
        <v>62.95</v>
      </c>
      <c r="C80" s="34">
        <f t="shared" si="2"/>
        <v>-1.5860428231561086E-3</v>
      </c>
      <c r="E80" t="s">
        <v>330</v>
      </c>
      <c r="F80" s="33">
        <v>81381.36</v>
      </c>
      <c r="G80" s="34">
        <f t="shared" si="3"/>
        <v>1.9281068886023434E-3</v>
      </c>
    </row>
    <row r="81" spans="1:7">
      <c r="A81" s="58">
        <v>45453</v>
      </c>
      <c r="B81" s="33">
        <v>64</v>
      </c>
      <c r="C81" s="34">
        <f t="shared" si="2"/>
        <v>1.6679904686258906E-2</v>
      </c>
      <c r="E81" s="58">
        <v>45453</v>
      </c>
      <c r="F81" s="33">
        <v>81688.45</v>
      </c>
      <c r="G81" s="34">
        <f t="shared" si="3"/>
        <v>3.7734685190808914E-3</v>
      </c>
    </row>
    <row r="82" spans="1:7">
      <c r="A82" t="s">
        <v>333</v>
      </c>
      <c r="B82" s="33">
        <v>65</v>
      </c>
      <c r="C82" s="34">
        <f t="shared" si="2"/>
        <v>1.5625E-2</v>
      </c>
      <c r="E82" t="s">
        <v>333</v>
      </c>
      <c r="F82" s="33">
        <v>85571.85</v>
      </c>
      <c r="G82" s="34">
        <f t="shared" si="3"/>
        <v>4.7539156392366388E-2</v>
      </c>
    </row>
    <row r="83" spans="1:7">
      <c r="A83" t="s">
        <v>335</v>
      </c>
      <c r="B83" s="33">
        <v>65</v>
      </c>
      <c r="C83" s="34">
        <f t="shared" si="2"/>
        <v>0</v>
      </c>
      <c r="E83" t="s">
        <v>335</v>
      </c>
      <c r="F83" s="33">
        <v>84544.31</v>
      </c>
      <c r="G83" s="34">
        <f t="shared" si="3"/>
        <v>-1.2007920829104513E-2</v>
      </c>
    </row>
    <row r="84" spans="1:7">
      <c r="A84" t="s">
        <v>337</v>
      </c>
      <c r="B84" s="33">
        <v>60.75</v>
      </c>
      <c r="C84" s="34">
        <f t="shared" si="2"/>
        <v>-6.5384615384615374E-2</v>
      </c>
      <c r="E84" t="s">
        <v>337</v>
      </c>
      <c r="F84" s="33">
        <v>82890.94</v>
      </c>
      <c r="G84" s="34">
        <f t="shared" si="3"/>
        <v>-1.9556253992728756E-2</v>
      </c>
    </row>
    <row r="85" spans="1:7">
      <c r="A85" s="58">
        <v>45513</v>
      </c>
      <c r="B85" s="33">
        <v>58.66</v>
      </c>
      <c r="C85" s="34">
        <f t="shared" si="2"/>
        <v>-3.4403292181069967E-2</v>
      </c>
      <c r="E85" s="58">
        <v>45513</v>
      </c>
      <c r="F85" s="33">
        <v>81183.929999999993</v>
      </c>
      <c r="G85" s="34">
        <f t="shared" si="3"/>
        <v>-2.0593444832451069E-2</v>
      </c>
    </row>
    <row r="86" spans="1:7">
      <c r="A86" s="58">
        <v>45300</v>
      </c>
      <c r="B86" s="33">
        <v>59.58</v>
      </c>
      <c r="C86" s="34">
        <f t="shared" si="2"/>
        <v>1.568360040913741E-2</v>
      </c>
      <c r="E86" s="58">
        <v>45300</v>
      </c>
      <c r="F86" s="33">
        <v>82365.77</v>
      </c>
      <c r="G86" s="34">
        <f t="shared" si="3"/>
        <v>1.4557560837471284E-2</v>
      </c>
    </row>
    <row r="87" spans="1:7">
      <c r="A87" t="s">
        <v>341</v>
      </c>
      <c r="B87" s="33">
        <v>55.59</v>
      </c>
      <c r="C87" s="34">
        <f t="shared" si="2"/>
        <v>-6.6968781470291949E-2</v>
      </c>
      <c r="E87" t="s">
        <v>341</v>
      </c>
      <c r="F87" s="33">
        <v>81086.210000000006</v>
      </c>
      <c r="G87" s="34">
        <f t="shared" si="3"/>
        <v>-1.5535094250924808E-2</v>
      </c>
    </row>
    <row r="88" spans="1:7">
      <c r="A88" t="s">
        <v>343</v>
      </c>
      <c r="B88" s="33">
        <v>43</v>
      </c>
      <c r="C88" s="34">
        <f t="shared" si="2"/>
        <v>-0.22647958265875168</v>
      </c>
      <c r="E88" t="s">
        <v>343</v>
      </c>
      <c r="F88" s="33">
        <v>80436.84</v>
      </c>
      <c r="G88" s="34">
        <f t="shared" si="3"/>
        <v>-8.0083900826047882E-3</v>
      </c>
    </row>
    <row r="89" spans="1:7">
      <c r="A89" s="58">
        <v>45604</v>
      </c>
      <c r="B89" s="33">
        <v>39.71</v>
      </c>
      <c r="C89" s="34">
        <f t="shared" si="2"/>
        <v>-7.6511627906976742E-2</v>
      </c>
      <c r="E89" s="58">
        <v>45604</v>
      </c>
      <c r="F89" s="33">
        <v>79705.91</v>
      </c>
      <c r="G89" s="34">
        <f t="shared" si="3"/>
        <v>-9.0870054069751571E-3</v>
      </c>
    </row>
    <row r="90" spans="1:7">
      <c r="A90" s="58">
        <v>45390</v>
      </c>
      <c r="B90" s="33">
        <v>36.15</v>
      </c>
      <c r="C90" s="34">
        <f t="shared" si="2"/>
        <v>-8.9649962226139523E-2</v>
      </c>
      <c r="E90" s="58">
        <v>45390</v>
      </c>
      <c r="F90" s="33">
        <v>80981.95</v>
      </c>
      <c r="G90" s="34">
        <f t="shared" si="3"/>
        <v>1.6009352380519815E-2</v>
      </c>
    </row>
    <row r="91" spans="1:7">
      <c r="A91" t="s">
        <v>347</v>
      </c>
      <c r="B91" s="33">
        <v>36.08</v>
      </c>
      <c r="C91" s="34">
        <f t="shared" si="2"/>
        <v>-1.9363762102351245E-3</v>
      </c>
      <c r="E91" t="s">
        <v>347</v>
      </c>
      <c r="F91" s="33">
        <v>81332.72</v>
      </c>
      <c r="G91" s="34">
        <f t="shared" si="3"/>
        <v>4.3314590473557679E-3</v>
      </c>
    </row>
    <row r="92" spans="1:7">
      <c r="A92" t="s">
        <v>349</v>
      </c>
      <c r="B92" s="33">
        <v>35.9</v>
      </c>
      <c r="C92" s="34">
        <f t="shared" si="2"/>
        <v>-4.9889135254989059E-3</v>
      </c>
      <c r="E92" t="s">
        <v>349</v>
      </c>
      <c r="F92" s="33">
        <v>80604.649999999994</v>
      </c>
      <c r="G92" s="34">
        <f t="shared" si="3"/>
        <v>-8.9517478328525746E-3</v>
      </c>
    </row>
    <row r="93" spans="1:7">
      <c r="A93" t="s">
        <v>351</v>
      </c>
      <c r="B93" s="33">
        <v>36.75</v>
      </c>
      <c r="C93" s="34">
        <f t="shared" si="2"/>
        <v>2.3676880222841312E-2</v>
      </c>
      <c r="E93" t="s">
        <v>351</v>
      </c>
      <c r="F93" s="33">
        <v>80519.34</v>
      </c>
      <c r="G93" s="34">
        <f t="shared" si="3"/>
        <v>-1.0583756644312325E-3</v>
      </c>
    </row>
    <row r="94" spans="1:7">
      <c r="A94" s="58">
        <v>45480</v>
      </c>
      <c r="B94" s="33">
        <v>34.75</v>
      </c>
      <c r="C94" s="34">
        <f t="shared" si="2"/>
        <v>-5.4421768707482943E-2</v>
      </c>
      <c r="E94" s="58">
        <v>45480</v>
      </c>
      <c r="F94" s="33">
        <v>79996.600000000006</v>
      </c>
      <c r="G94" s="34">
        <f t="shared" si="3"/>
        <v>-6.4921048781571011E-3</v>
      </c>
    </row>
    <row r="95" spans="1:7">
      <c r="A95" t="s">
        <v>354</v>
      </c>
      <c r="B95" s="33">
        <v>36.549999999999997</v>
      </c>
      <c r="C95" s="34">
        <f t="shared" si="2"/>
        <v>5.1798561151078948E-2</v>
      </c>
      <c r="E95" t="s">
        <v>354</v>
      </c>
      <c r="F95" s="33">
        <v>79032.73</v>
      </c>
      <c r="G95" s="34">
        <f t="shared" si="3"/>
        <v>-1.2048887077700909E-2</v>
      </c>
    </row>
    <row r="96" spans="1:7">
      <c r="A96" t="s">
        <v>356</v>
      </c>
      <c r="B96" s="33">
        <v>35.56</v>
      </c>
      <c r="C96" s="34">
        <f t="shared" si="2"/>
        <v>-2.7086183310533363E-2</v>
      </c>
      <c r="E96" t="s">
        <v>356</v>
      </c>
      <c r="F96" s="33">
        <v>77209.899999999994</v>
      </c>
      <c r="G96" s="34">
        <f t="shared" si="3"/>
        <v>-2.3064241865363933E-2</v>
      </c>
    </row>
    <row r="97" spans="1:7">
      <c r="A97" t="s">
        <v>358</v>
      </c>
      <c r="B97" s="33">
        <v>34.06</v>
      </c>
      <c r="C97" s="34">
        <f t="shared" si="2"/>
        <v>-4.2182227221597257E-2</v>
      </c>
      <c r="E97" t="s">
        <v>358</v>
      </c>
      <c r="F97" s="33">
        <v>76992.77</v>
      </c>
      <c r="G97" s="34">
        <f t="shared" si="3"/>
        <v>-2.8122041344437188E-3</v>
      </c>
    </row>
    <row r="98" spans="1:7">
      <c r="A98" s="58">
        <v>45541</v>
      </c>
      <c r="B98" s="33">
        <v>37.76</v>
      </c>
      <c r="C98" s="34">
        <f t="shared" si="2"/>
        <v>0.10863182618907796</v>
      </c>
      <c r="E98" s="58">
        <v>45541</v>
      </c>
      <c r="F98" s="33">
        <v>76693.36</v>
      </c>
      <c r="G98" s="34">
        <f t="shared" si="3"/>
        <v>-3.8888067022397887E-3</v>
      </c>
    </row>
    <row r="99" spans="1:7">
      <c r="A99" s="58">
        <v>45328</v>
      </c>
      <c r="B99" s="33">
        <v>37.76</v>
      </c>
      <c r="C99" s="34">
        <f t="shared" si="2"/>
        <v>0</v>
      </c>
      <c r="E99" s="58">
        <v>45328</v>
      </c>
      <c r="F99" s="33">
        <v>73961.31</v>
      </c>
      <c r="G99" s="34">
        <f t="shared" si="3"/>
        <v>-3.5623031772242131E-2</v>
      </c>
    </row>
    <row r="100" spans="1:7">
      <c r="A100" t="s">
        <v>362</v>
      </c>
      <c r="B100" s="33">
        <v>39.28</v>
      </c>
      <c r="C100" s="34">
        <f t="shared" si="2"/>
        <v>4.0254237288135597E-2</v>
      </c>
      <c r="E100" t="s">
        <v>362</v>
      </c>
      <c r="F100" s="33">
        <v>75410.39</v>
      </c>
      <c r="G100" s="34">
        <f t="shared" si="3"/>
        <v>1.959240581325572E-2</v>
      </c>
    </row>
    <row r="101" spans="1:7">
      <c r="A101" t="s">
        <v>364</v>
      </c>
      <c r="B101" s="33">
        <v>38.909999999999997</v>
      </c>
      <c r="C101" s="34">
        <f t="shared" si="2"/>
        <v>-9.4195519348270196E-3</v>
      </c>
      <c r="E101" t="s">
        <v>364</v>
      </c>
      <c r="F101" s="33">
        <v>74005.94</v>
      </c>
      <c r="G101" s="34">
        <f t="shared" si="3"/>
        <v>-1.8624091454771619E-2</v>
      </c>
    </row>
    <row r="102" spans="1:7">
      <c r="A102" s="58">
        <v>45631</v>
      </c>
      <c r="B102" s="33">
        <v>39.49</v>
      </c>
      <c r="C102" s="34">
        <f t="shared" si="2"/>
        <v>1.4906193780519272E-2</v>
      </c>
      <c r="E102" s="58">
        <v>45631</v>
      </c>
      <c r="F102" s="33">
        <v>72664.47</v>
      </c>
      <c r="G102" s="34">
        <f t="shared" si="3"/>
        <v>-1.8126517952477883E-2</v>
      </c>
    </row>
    <row r="103" spans="1:7">
      <c r="A103" s="58">
        <v>45417</v>
      </c>
      <c r="B103" s="33">
        <v>39.950000000000003</v>
      </c>
      <c r="C103" s="34">
        <f t="shared" si="2"/>
        <v>1.1648518612306979E-2</v>
      </c>
      <c r="E103" s="58">
        <v>45417</v>
      </c>
      <c r="F103" s="33">
        <v>73878.149999999994</v>
      </c>
      <c r="G103" s="34">
        <f t="shared" si="3"/>
        <v>1.6702523255175405E-2</v>
      </c>
    </row>
    <row r="104" spans="1:7">
      <c r="A104" t="s">
        <v>368</v>
      </c>
      <c r="B104" s="33">
        <v>37.82</v>
      </c>
      <c r="C104" s="34">
        <f t="shared" si="2"/>
        <v>-5.3316645807259144E-2</v>
      </c>
      <c r="E104" t="s">
        <v>368</v>
      </c>
      <c r="F104" s="33">
        <v>73730.16</v>
      </c>
      <c r="G104" s="34">
        <f t="shared" si="3"/>
        <v>-2.0031633168939855E-3</v>
      </c>
    </row>
    <row r="105" spans="1:7">
      <c r="A105" t="s">
        <v>370</v>
      </c>
      <c r="B105" s="33">
        <v>34.65</v>
      </c>
      <c r="C105" s="34">
        <f t="shared" si="2"/>
        <v>-8.381808566895832E-2</v>
      </c>
      <c r="E105" t="s">
        <v>370</v>
      </c>
      <c r="F105" s="33">
        <v>73088.33</v>
      </c>
      <c r="G105" s="34">
        <f t="shared" si="3"/>
        <v>-8.7051214862412518E-3</v>
      </c>
    </row>
    <row r="106" spans="1:7">
      <c r="A106" t="s">
        <v>372</v>
      </c>
      <c r="B106" s="33">
        <v>34.01</v>
      </c>
      <c r="C106" s="34">
        <f t="shared" si="2"/>
        <v>-1.8470418470418526E-2</v>
      </c>
      <c r="E106" t="s">
        <v>372</v>
      </c>
      <c r="F106" s="33">
        <v>74244.899999999994</v>
      </c>
      <c r="G106" s="34">
        <f t="shared" si="3"/>
        <v>1.5824277282022958E-2</v>
      </c>
    </row>
    <row r="107" spans="1:7">
      <c r="A107" s="58">
        <v>45477</v>
      </c>
      <c r="B107" s="33">
        <v>35</v>
      </c>
      <c r="C107" s="34">
        <f t="shared" si="2"/>
        <v>2.9109085563069792E-2</v>
      </c>
      <c r="E107" s="58">
        <v>45477</v>
      </c>
      <c r="F107" s="33">
        <v>74248.22</v>
      </c>
      <c r="G107" s="34">
        <f t="shared" si="3"/>
        <v>4.4716876176131848E-5</v>
      </c>
    </row>
    <row r="108" spans="1:7">
      <c r="A108" t="s">
        <v>375</v>
      </c>
      <c r="B108" s="33">
        <v>34.39</v>
      </c>
      <c r="C108" s="34">
        <f t="shared" si="2"/>
        <v>-1.742857142857146E-2</v>
      </c>
      <c r="E108" t="s">
        <v>375</v>
      </c>
      <c r="F108" s="33">
        <v>73651.350000000006</v>
      </c>
      <c r="G108" s="34">
        <f t="shared" si="3"/>
        <v>-8.0388459144205004E-3</v>
      </c>
    </row>
    <row r="109" spans="1:7">
      <c r="A109" t="s">
        <v>377</v>
      </c>
      <c r="B109" s="33">
        <v>34.1</v>
      </c>
      <c r="C109" s="34">
        <f t="shared" si="2"/>
        <v>-8.4326839197440551E-3</v>
      </c>
      <c r="E109" t="s">
        <v>377</v>
      </c>
      <c r="F109" s="33">
        <v>72831.94</v>
      </c>
      <c r="G109" s="34">
        <f t="shared" si="3"/>
        <v>-1.1125525872913489E-2</v>
      </c>
    </row>
    <row r="110" spans="1:7">
      <c r="A110" t="s">
        <v>379</v>
      </c>
      <c r="B110" s="33">
        <v>34</v>
      </c>
      <c r="C110" s="34">
        <f t="shared" si="2"/>
        <v>-2.9325513196480912E-3</v>
      </c>
      <c r="E110" t="s">
        <v>379</v>
      </c>
      <c r="F110" s="33">
        <v>72643.429999999993</v>
      </c>
      <c r="G110" s="34">
        <f t="shared" si="3"/>
        <v>-2.5882875013354401E-3</v>
      </c>
    </row>
    <row r="111" spans="1:7">
      <c r="A111" s="58">
        <v>45568</v>
      </c>
      <c r="B111" s="33">
        <v>32.630000000000003</v>
      </c>
      <c r="C111" s="34">
        <f t="shared" si="2"/>
        <v>-4.0294117647058703E-2</v>
      </c>
      <c r="E111" s="58">
        <v>45568</v>
      </c>
      <c r="F111" s="33">
        <v>74119.39</v>
      </c>
      <c r="G111" s="34">
        <f t="shared" si="3"/>
        <v>2.0317873206152415E-2</v>
      </c>
    </row>
    <row r="112" spans="1:7">
      <c r="A112" s="58">
        <v>45354</v>
      </c>
      <c r="B112" s="33">
        <v>32.83</v>
      </c>
      <c r="C112" s="34">
        <f t="shared" si="2"/>
        <v>6.129328838492043E-3</v>
      </c>
      <c r="E112" s="58">
        <v>45354</v>
      </c>
      <c r="F112" s="33">
        <v>73806.149999999994</v>
      </c>
      <c r="G112" s="34">
        <f t="shared" si="3"/>
        <v>-4.2261545865394101E-3</v>
      </c>
    </row>
    <row r="113" spans="1:7">
      <c r="A113" t="s">
        <v>383</v>
      </c>
      <c r="B113" s="33">
        <v>34.5</v>
      </c>
      <c r="C113" s="34">
        <f t="shared" si="2"/>
        <v>5.0868108437404969E-2</v>
      </c>
      <c r="E113" t="s">
        <v>383</v>
      </c>
      <c r="F113" s="33">
        <v>73142.8</v>
      </c>
      <c r="G113" s="34">
        <f t="shared" si="3"/>
        <v>-8.987733407039844E-3</v>
      </c>
    </row>
    <row r="114" spans="1:7">
      <c r="A114" t="s">
        <v>385</v>
      </c>
      <c r="B114" s="33">
        <v>34.19</v>
      </c>
      <c r="C114" s="34">
        <f t="shared" si="2"/>
        <v>-8.9855072463769226E-3</v>
      </c>
      <c r="E114" t="s">
        <v>385</v>
      </c>
      <c r="F114" s="33">
        <v>72426.64</v>
      </c>
      <c r="G114" s="34">
        <f t="shared" si="3"/>
        <v>-9.7912576494201264E-3</v>
      </c>
    </row>
    <row r="115" spans="1:7">
      <c r="A115" s="58">
        <v>45598</v>
      </c>
      <c r="B115" s="33">
        <v>34.67</v>
      </c>
      <c r="C115" s="34">
        <f t="shared" si="2"/>
        <v>1.4039192746417184E-2</v>
      </c>
      <c r="E115" s="58">
        <v>45598</v>
      </c>
      <c r="F115" s="33">
        <v>71595.490000000005</v>
      </c>
      <c r="G115" s="34">
        <f t="shared" si="3"/>
        <v>-1.1475749806977076E-2</v>
      </c>
    </row>
    <row r="116" spans="1:7">
      <c r="A116" s="58">
        <v>45384</v>
      </c>
      <c r="B116" s="33">
        <v>34.119999999999997</v>
      </c>
      <c r="C116" s="34">
        <f t="shared" si="2"/>
        <v>-1.5863859244303558E-2</v>
      </c>
      <c r="E116" s="58">
        <v>45384</v>
      </c>
      <c r="F116" s="33">
        <v>72085.63</v>
      </c>
      <c r="G116" s="34">
        <f t="shared" si="3"/>
        <v>6.8459619453682397E-3</v>
      </c>
    </row>
    <row r="117" spans="1:7">
      <c r="A117" t="s">
        <v>388</v>
      </c>
      <c r="B117" s="33">
        <v>34.51</v>
      </c>
      <c r="C117" s="34">
        <f t="shared" si="2"/>
        <v>1.1430246189918059E-2</v>
      </c>
      <c r="E117" t="s">
        <v>388</v>
      </c>
      <c r="F117" s="33">
        <v>70700.67</v>
      </c>
      <c r="G117" s="34">
        <f t="shared" si="3"/>
        <v>-1.9212705777836847E-2</v>
      </c>
    </row>
    <row r="118" spans="1:7">
      <c r="A118" t="s">
        <v>390</v>
      </c>
      <c r="B118" s="33">
        <v>34.590000000000003</v>
      </c>
      <c r="C118" s="34">
        <f t="shared" si="2"/>
        <v>2.3181686467692586E-3</v>
      </c>
      <c r="E118" t="s">
        <v>390</v>
      </c>
      <c r="F118" s="33">
        <v>71423.649999999994</v>
      </c>
      <c r="G118" s="34">
        <f t="shared" si="3"/>
        <v>1.0225928552020758E-2</v>
      </c>
    </row>
    <row r="119" spans="1:7">
      <c r="A119" t="s">
        <v>392</v>
      </c>
      <c r="B119" s="33">
        <v>34.549999999999997</v>
      </c>
      <c r="C119" s="34">
        <f t="shared" si="2"/>
        <v>-1.1564035848512511E-3</v>
      </c>
      <c r="E119" t="s">
        <v>392</v>
      </c>
      <c r="F119" s="33">
        <v>72568.45</v>
      </c>
      <c r="G119" s="34">
        <f t="shared" si="3"/>
        <v>1.6028304350169664E-2</v>
      </c>
    </row>
    <row r="120" spans="1:7">
      <c r="A120" s="58">
        <v>45474</v>
      </c>
      <c r="B120" s="33">
        <v>35.340000000000003</v>
      </c>
      <c r="C120" s="34">
        <f t="shared" si="2"/>
        <v>2.2865412445731037E-2</v>
      </c>
      <c r="E120" s="58">
        <v>45474</v>
      </c>
      <c r="F120" s="33">
        <v>72026.149999999994</v>
      </c>
      <c r="G120" s="34">
        <f t="shared" si="3"/>
        <v>-7.4729445096319846E-3</v>
      </c>
    </row>
  </sheetData>
  <mergeCells count="5">
    <mergeCell ref="A8:D8"/>
    <mergeCell ref="A10:C10"/>
    <mergeCell ref="E10:G10"/>
    <mergeCell ref="A1:L6"/>
    <mergeCell ref="I12:J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FB69-9548-4BDC-9DEF-35D4C7F7F27C}">
  <sheetPr>
    <tabColor theme="8" tint="-0.499984740745262"/>
  </sheetPr>
  <dimension ref="A1:W120"/>
  <sheetViews>
    <sheetView showGridLines="0" workbookViewId="0">
      <selection activeCell="I12" sqref="I12:J21"/>
    </sheetView>
  </sheetViews>
  <sheetFormatPr defaultRowHeight="14.4"/>
  <cols>
    <col min="1" max="1" width="11.44140625" bestFit="1" customWidth="1"/>
    <col min="5" max="5" width="10.5546875" bestFit="1" customWidth="1"/>
    <col min="9" max="9" width="17.5546875" bestFit="1" customWidth="1"/>
  </cols>
  <sheetData>
    <row r="1" spans="1:16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6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6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1:16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</row>
    <row r="5" spans="1:16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</row>
    <row r="6" spans="1:1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</row>
    <row r="8" spans="1:16">
      <c r="A8" s="82" t="s">
        <v>215</v>
      </c>
      <c r="B8" s="82"/>
      <c r="C8" s="82"/>
      <c r="D8" s="82"/>
    </row>
    <row r="10" spans="1:16">
      <c r="A10" s="83" t="s">
        <v>609</v>
      </c>
      <c r="B10" s="83"/>
      <c r="C10" s="83"/>
      <c r="E10" s="83" t="s">
        <v>213</v>
      </c>
      <c r="F10" s="83"/>
      <c r="G10" s="83"/>
    </row>
    <row r="12" spans="1:16">
      <c r="A12" s="49" t="s">
        <v>70</v>
      </c>
      <c r="B12" s="49" t="s">
        <v>71</v>
      </c>
      <c r="C12" s="50" t="s">
        <v>72</v>
      </c>
      <c r="D12" s="4"/>
      <c r="E12" s="49" t="s">
        <v>70</v>
      </c>
      <c r="F12" s="49" t="s">
        <v>71</v>
      </c>
      <c r="G12" s="50" t="s">
        <v>72</v>
      </c>
      <c r="I12" s="83" t="s">
        <v>73</v>
      </c>
      <c r="J12" s="83"/>
    </row>
    <row r="13" spans="1:16">
      <c r="A13" t="s">
        <v>222</v>
      </c>
      <c r="B13">
        <v>13.75</v>
      </c>
      <c r="E13" t="s">
        <v>222</v>
      </c>
      <c r="F13" s="33">
        <v>82269.78</v>
      </c>
      <c r="O13" t="s">
        <v>188</v>
      </c>
    </row>
    <row r="14" spans="1:16" ht="15" thickBot="1">
      <c r="A14" t="s">
        <v>224</v>
      </c>
      <c r="B14">
        <v>14.23</v>
      </c>
      <c r="C14" s="34">
        <f>B14/B13-1</f>
        <v>3.4909090909091001E-2</v>
      </c>
      <c r="E14" t="s">
        <v>224</v>
      </c>
      <c r="F14" s="33">
        <v>81537.7</v>
      </c>
      <c r="G14" s="34">
        <f>F14/F13-1</f>
        <v>-8.8985287185646689E-3</v>
      </c>
      <c r="J14" t="s">
        <v>52</v>
      </c>
    </row>
    <row r="15" spans="1:16">
      <c r="A15" s="58">
        <v>46327</v>
      </c>
      <c r="B15">
        <v>14.75</v>
      </c>
      <c r="C15" s="34">
        <f t="shared" ref="C15:C78" si="0">B15/B14-1</f>
        <v>3.6542515811665455E-2</v>
      </c>
      <c r="E15" s="58">
        <v>46327</v>
      </c>
      <c r="F15" s="33">
        <v>83570.350000000006</v>
      </c>
      <c r="G15" s="34">
        <f t="shared" ref="G15:G78" si="1">F15/F14-1</f>
        <v>2.4928959242166648E-2</v>
      </c>
      <c r="I15" s="51" t="s">
        <v>74</v>
      </c>
      <c r="J15" s="33">
        <f>P30</f>
        <v>0.58487445127711202</v>
      </c>
      <c r="O15" s="57" t="s">
        <v>189</v>
      </c>
      <c r="P15" s="57"/>
    </row>
    <row r="16" spans="1:16">
      <c r="A16" s="58">
        <v>46113</v>
      </c>
      <c r="B16">
        <v>15.02</v>
      </c>
      <c r="C16" s="34">
        <f t="shared" si="0"/>
        <v>1.8305084745762645E-2</v>
      </c>
      <c r="E16" s="58">
        <v>46113</v>
      </c>
      <c r="F16" s="33">
        <v>83576.240000000005</v>
      </c>
      <c r="G16" s="34">
        <f t="shared" si="1"/>
        <v>7.0479542086498981E-5</v>
      </c>
      <c r="I16" t="s">
        <v>75</v>
      </c>
      <c r="J16" s="34">
        <v>0.75</v>
      </c>
      <c r="O16" s="54" t="s">
        <v>190</v>
      </c>
      <c r="P16" s="54">
        <v>0.1366517805347954</v>
      </c>
    </row>
    <row r="17" spans="1:23">
      <c r="A17" t="s">
        <v>228</v>
      </c>
      <c r="B17">
        <v>14.51</v>
      </c>
      <c r="C17" s="34">
        <f t="shared" si="0"/>
        <v>-3.3954727030625853E-2</v>
      </c>
      <c r="E17" t="s">
        <v>228</v>
      </c>
      <c r="F17" s="33">
        <v>85762.01</v>
      </c>
      <c r="G17" s="34">
        <f t="shared" si="1"/>
        <v>2.6153007122598382E-2</v>
      </c>
      <c r="J17" s="33"/>
      <c r="O17" s="54" t="s">
        <v>191</v>
      </c>
      <c r="P17" s="54">
        <v>1.8673709123329885E-2</v>
      </c>
    </row>
    <row r="18" spans="1:23">
      <c r="A18" t="s">
        <v>230</v>
      </c>
      <c r="B18">
        <v>15.06</v>
      </c>
      <c r="C18" s="34">
        <f t="shared" si="0"/>
        <v>3.7904893177119314E-2</v>
      </c>
      <c r="E18" t="s">
        <v>230</v>
      </c>
      <c r="F18" s="33">
        <v>85041.45</v>
      </c>
      <c r="G18" s="34">
        <f t="shared" si="1"/>
        <v>-8.4018553203218937E-3</v>
      </c>
      <c r="I18" t="s">
        <v>76</v>
      </c>
      <c r="J18" s="33">
        <v>1</v>
      </c>
      <c r="O18" s="54" t="s">
        <v>192</v>
      </c>
      <c r="P18" s="54">
        <v>9.3277444483139786E-3</v>
      </c>
    </row>
    <row r="19" spans="1:23">
      <c r="A19" t="s">
        <v>232</v>
      </c>
      <c r="B19">
        <v>15.32</v>
      </c>
      <c r="C19" s="34">
        <f t="shared" si="0"/>
        <v>1.7264276228419639E-2</v>
      </c>
      <c r="E19" t="s">
        <v>232</v>
      </c>
      <c r="F19" s="33">
        <v>84929.36</v>
      </c>
      <c r="G19" s="34">
        <f t="shared" si="1"/>
        <v>-1.3180631327428527E-3</v>
      </c>
      <c r="I19" t="s">
        <v>77</v>
      </c>
      <c r="J19" s="34">
        <v>0.25</v>
      </c>
      <c r="O19" s="54" t="s">
        <v>193</v>
      </c>
      <c r="P19" s="54">
        <v>7.0688824456917265E-2</v>
      </c>
    </row>
    <row r="20" spans="1:23" ht="15" thickBot="1">
      <c r="A20" s="58">
        <v>45850</v>
      </c>
      <c r="B20">
        <v>14.07</v>
      </c>
      <c r="C20" s="34">
        <f t="shared" si="0"/>
        <v>-8.1592689295039156E-2</v>
      </c>
      <c r="E20" s="58">
        <v>45850</v>
      </c>
      <c r="F20" s="33">
        <v>85267.66</v>
      </c>
      <c r="G20" s="34">
        <f t="shared" si="1"/>
        <v>3.9833103652258117E-3</v>
      </c>
      <c r="O20" s="55" t="s">
        <v>194</v>
      </c>
      <c r="P20" s="55">
        <v>107</v>
      </c>
    </row>
    <row r="21" spans="1:23">
      <c r="A21" t="s">
        <v>235</v>
      </c>
      <c r="B21">
        <v>14.51</v>
      </c>
      <c r="C21" s="34">
        <f t="shared" si="0"/>
        <v>3.1272210376688037E-2</v>
      </c>
      <c r="E21" t="s">
        <v>235</v>
      </c>
      <c r="F21" s="33">
        <v>85712.37</v>
      </c>
      <c r="G21" s="34">
        <f t="shared" si="1"/>
        <v>5.2154591787787474E-3</v>
      </c>
      <c r="I21" s="52" t="s">
        <v>78</v>
      </c>
      <c r="J21" s="53">
        <f>(J15*J16)+(J18*J19)</f>
        <v>0.68865583845783407</v>
      </c>
    </row>
    <row r="22" spans="1:23" ht="15" thickBot="1">
      <c r="A22" t="s">
        <v>237</v>
      </c>
      <c r="B22">
        <v>14.51</v>
      </c>
      <c r="C22" s="34">
        <f t="shared" si="0"/>
        <v>0</v>
      </c>
      <c r="E22" t="s">
        <v>237</v>
      </c>
      <c r="F22" s="33">
        <v>85706.67</v>
      </c>
      <c r="G22" s="34">
        <f t="shared" si="1"/>
        <v>-6.6501486308156998E-5</v>
      </c>
      <c r="O22" t="s">
        <v>195</v>
      </c>
    </row>
    <row r="23" spans="1:23">
      <c r="A23" t="s">
        <v>239</v>
      </c>
      <c r="B23">
        <v>13.25</v>
      </c>
      <c r="C23" s="34">
        <f t="shared" si="0"/>
        <v>-8.6836664369400407E-2</v>
      </c>
      <c r="E23" t="s">
        <v>239</v>
      </c>
      <c r="F23" s="33">
        <v>85231.92</v>
      </c>
      <c r="G23" s="34">
        <f t="shared" si="1"/>
        <v>-5.5392421616660137E-3</v>
      </c>
      <c r="O23" s="56"/>
      <c r="P23" s="56" t="s">
        <v>200</v>
      </c>
      <c r="Q23" s="56" t="s">
        <v>201</v>
      </c>
      <c r="R23" s="56" t="s">
        <v>202</v>
      </c>
      <c r="S23" s="56" t="s">
        <v>203</v>
      </c>
      <c r="T23" s="56" t="s">
        <v>204</v>
      </c>
    </row>
    <row r="24" spans="1:23">
      <c r="A24" s="58">
        <v>45911</v>
      </c>
      <c r="B24">
        <v>15.17</v>
      </c>
      <c r="C24" s="34">
        <f t="shared" si="0"/>
        <v>0.14490566037735841</v>
      </c>
      <c r="E24" s="58">
        <v>45911</v>
      </c>
      <c r="F24" s="33">
        <v>84562.78</v>
      </c>
      <c r="G24" s="34">
        <f t="shared" si="1"/>
        <v>-7.8508145774494054E-3</v>
      </c>
      <c r="O24" s="54" t="s">
        <v>196</v>
      </c>
      <c r="P24" s="54">
        <v>1</v>
      </c>
      <c r="Q24" s="54">
        <v>9.9840781867531758E-3</v>
      </c>
      <c r="R24" s="54">
        <v>9.9840781867531758E-3</v>
      </c>
      <c r="S24" s="54">
        <v>1.998050471263749</v>
      </c>
      <c r="T24" s="54">
        <v>0.16045954202262608</v>
      </c>
    </row>
    <row r="25" spans="1:23">
      <c r="A25" s="58">
        <v>45699</v>
      </c>
      <c r="B25">
        <v>14.28</v>
      </c>
      <c r="C25" s="34">
        <f t="shared" si="0"/>
        <v>-5.8668424522083096E-2</v>
      </c>
      <c r="E25" s="58">
        <v>45699</v>
      </c>
      <c r="F25" s="33">
        <v>83216.28</v>
      </c>
      <c r="G25" s="34">
        <f t="shared" si="1"/>
        <v>-1.5923081052917176E-2</v>
      </c>
      <c r="O25" s="54" t="s">
        <v>197</v>
      </c>
      <c r="P25" s="54">
        <v>105</v>
      </c>
      <c r="Q25" s="54">
        <v>0.52467553982559068</v>
      </c>
      <c r="R25" s="54">
        <v>4.996909903100864E-3</v>
      </c>
      <c r="S25" s="54"/>
      <c r="T25" s="54"/>
    </row>
    <row r="26" spans="1:23" ht="15" thickBot="1">
      <c r="A26" t="s">
        <v>243</v>
      </c>
      <c r="B26">
        <v>13.9</v>
      </c>
      <c r="C26" s="34">
        <f t="shared" si="0"/>
        <v>-2.6610644257702987E-2</v>
      </c>
      <c r="E26" t="s">
        <v>243</v>
      </c>
      <c r="F26" s="33">
        <v>83938.71</v>
      </c>
      <c r="G26" s="34">
        <f t="shared" si="1"/>
        <v>8.6813541773318459E-3</v>
      </c>
      <c r="O26" s="55" t="s">
        <v>198</v>
      </c>
      <c r="P26" s="55">
        <v>106</v>
      </c>
      <c r="Q26" s="55">
        <v>0.53465961801234385</v>
      </c>
      <c r="R26" s="55"/>
      <c r="S26" s="55"/>
      <c r="T26" s="55"/>
    </row>
    <row r="27" spans="1:23" ht="15" thickBot="1">
      <c r="A27" t="s">
        <v>245</v>
      </c>
      <c r="B27">
        <v>14.25</v>
      </c>
      <c r="C27" s="34">
        <f t="shared" si="0"/>
        <v>2.5179856115107979E-2</v>
      </c>
      <c r="E27" t="s">
        <v>245</v>
      </c>
      <c r="F27" s="33">
        <v>84211.88</v>
      </c>
      <c r="G27" s="34">
        <f t="shared" si="1"/>
        <v>3.2543983580399782E-3</v>
      </c>
    </row>
    <row r="28" spans="1:23">
      <c r="A28" s="58">
        <v>46001</v>
      </c>
      <c r="B28">
        <v>14.3</v>
      </c>
      <c r="C28" s="34">
        <f t="shared" si="0"/>
        <v>3.5087719298245723E-3</v>
      </c>
      <c r="E28" s="58">
        <v>46001</v>
      </c>
      <c r="F28" s="33">
        <v>83952.19</v>
      </c>
      <c r="G28" s="34">
        <f t="shared" si="1"/>
        <v>-3.083769178410467E-3</v>
      </c>
      <c r="O28" s="56"/>
      <c r="P28" s="56" t="s">
        <v>205</v>
      </c>
      <c r="Q28" s="56" t="s">
        <v>193</v>
      </c>
      <c r="R28" s="56" t="s">
        <v>206</v>
      </c>
      <c r="S28" s="56" t="s">
        <v>207</v>
      </c>
      <c r="T28" s="56" t="s">
        <v>208</v>
      </c>
      <c r="U28" s="56" t="s">
        <v>209</v>
      </c>
      <c r="V28" s="56" t="s">
        <v>210</v>
      </c>
      <c r="W28" s="56" t="s">
        <v>211</v>
      </c>
    </row>
    <row r="29" spans="1:23">
      <c r="A29" s="58">
        <v>45787</v>
      </c>
      <c r="B29">
        <v>15.14</v>
      </c>
      <c r="C29" s="34">
        <f t="shared" si="0"/>
        <v>5.8741258741258795E-2</v>
      </c>
      <c r="E29" s="58">
        <v>45787</v>
      </c>
      <c r="F29" s="33">
        <v>82500.820000000007</v>
      </c>
      <c r="G29" s="34">
        <f t="shared" si="1"/>
        <v>-1.7288054069822256E-2</v>
      </c>
      <c r="O29" s="54" t="s">
        <v>199</v>
      </c>
      <c r="P29" s="54">
        <v>2.5702529504677894E-3</v>
      </c>
      <c r="Q29" s="54">
        <v>6.849051606678278E-3</v>
      </c>
      <c r="R29" s="54">
        <v>0.37527136574086006</v>
      </c>
      <c r="S29" s="54">
        <v>0.70821565080542281</v>
      </c>
      <c r="T29" s="54">
        <v>-1.1010151186264402E-2</v>
      </c>
      <c r="U29" s="54">
        <v>1.6150657087199982E-2</v>
      </c>
      <c r="V29" s="54">
        <v>-1.1010151186264402E-2</v>
      </c>
      <c r="W29" s="54">
        <v>1.6150657087199982E-2</v>
      </c>
    </row>
    <row r="30" spans="1:23" ht="15" thickBot="1">
      <c r="A30" t="s">
        <v>249</v>
      </c>
      <c r="B30">
        <v>14.97</v>
      </c>
      <c r="C30" s="34">
        <f t="shared" si="0"/>
        <v>-1.1228533685601061E-2</v>
      </c>
      <c r="E30" t="s">
        <v>249</v>
      </c>
      <c r="F30" s="33">
        <v>81207.17</v>
      </c>
      <c r="G30" s="34">
        <f t="shared" si="1"/>
        <v>-1.5680450206434382E-2</v>
      </c>
      <c r="O30" s="55" t="s">
        <v>212</v>
      </c>
      <c r="P30" s="55">
        <v>0.58487445127711202</v>
      </c>
      <c r="Q30" s="55">
        <v>0.41377040413183658</v>
      </c>
      <c r="R30" s="55">
        <v>1.4135241318292979</v>
      </c>
      <c r="S30" s="55">
        <v>0.16045954202262483</v>
      </c>
      <c r="T30" s="55">
        <v>-0.23555582587984247</v>
      </c>
      <c r="U30" s="55">
        <v>1.4053047284340665</v>
      </c>
      <c r="V30" s="55">
        <v>-0.23555582587984247</v>
      </c>
      <c r="W30" s="55">
        <v>1.4053047284340665</v>
      </c>
    </row>
    <row r="31" spans="1:23">
      <c r="A31" t="s">
        <v>251</v>
      </c>
      <c r="B31">
        <v>14.1</v>
      </c>
      <c r="C31" s="34">
        <f t="shared" si="0"/>
        <v>-5.8116232464929918E-2</v>
      </c>
      <c r="E31" t="s">
        <v>251</v>
      </c>
      <c r="F31" s="33">
        <v>80426.460000000006</v>
      </c>
      <c r="G31" s="34">
        <f t="shared" si="1"/>
        <v>-9.613806268584324E-3</v>
      </c>
    </row>
    <row r="32" spans="1:23">
      <c r="A32" t="s">
        <v>253</v>
      </c>
      <c r="B32">
        <v>14.8</v>
      </c>
      <c r="C32" s="34">
        <f t="shared" si="0"/>
        <v>4.9645390070922168E-2</v>
      </c>
      <c r="E32" t="s">
        <v>253</v>
      </c>
      <c r="F32" s="33">
        <v>82626.23</v>
      </c>
      <c r="G32" s="34">
        <f t="shared" si="1"/>
        <v>2.7351321940565221E-2</v>
      </c>
    </row>
    <row r="33" spans="1:7">
      <c r="A33" s="58">
        <v>45847</v>
      </c>
      <c r="B33">
        <v>13.89</v>
      </c>
      <c r="C33" s="34">
        <f t="shared" si="0"/>
        <v>-6.1486486486486469E-2</v>
      </c>
      <c r="E33" s="58">
        <v>45847</v>
      </c>
      <c r="F33" s="33">
        <v>81904.7</v>
      </c>
      <c r="G33" s="34">
        <f t="shared" si="1"/>
        <v>-8.7324569933784346E-3</v>
      </c>
    </row>
    <row r="34" spans="1:7">
      <c r="A34" t="s">
        <v>256</v>
      </c>
      <c r="B34">
        <v>13.9</v>
      </c>
      <c r="C34" s="34">
        <f t="shared" si="0"/>
        <v>7.1994240460759862E-4</v>
      </c>
      <c r="E34" t="s">
        <v>256</v>
      </c>
      <c r="F34" s="33">
        <v>80710.759999999995</v>
      </c>
      <c r="G34" s="34">
        <f t="shared" si="1"/>
        <v>-1.4577185436244866E-2</v>
      </c>
    </row>
    <row r="35" spans="1:7">
      <c r="A35" t="s">
        <v>258</v>
      </c>
      <c r="B35">
        <v>13.58</v>
      </c>
      <c r="C35" s="34">
        <f t="shared" si="0"/>
        <v>-2.302158273381294E-2</v>
      </c>
      <c r="E35" t="s">
        <v>258</v>
      </c>
      <c r="F35" s="33">
        <v>79809.649999999994</v>
      </c>
      <c r="G35" s="34">
        <f t="shared" si="1"/>
        <v>-1.116468237940027E-2</v>
      </c>
    </row>
    <row r="36" spans="1:7">
      <c r="A36" t="s">
        <v>260</v>
      </c>
      <c r="B36">
        <v>13.81</v>
      </c>
      <c r="C36" s="34">
        <f t="shared" si="0"/>
        <v>1.6936671575846773E-2</v>
      </c>
      <c r="E36" t="s">
        <v>260</v>
      </c>
      <c r="F36" s="33">
        <v>81306.850000000006</v>
      </c>
      <c r="G36" s="34">
        <f t="shared" si="1"/>
        <v>1.8759636209405794E-2</v>
      </c>
    </row>
    <row r="37" spans="1:7">
      <c r="A37" s="58">
        <v>45938</v>
      </c>
      <c r="B37">
        <v>13.67</v>
      </c>
      <c r="C37" s="34">
        <f t="shared" si="0"/>
        <v>-1.0137581462708267E-2</v>
      </c>
      <c r="E37" s="58">
        <v>45938</v>
      </c>
      <c r="F37" s="33">
        <v>80597.66</v>
      </c>
      <c r="G37" s="34">
        <f t="shared" si="1"/>
        <v>-8.7223893189811719E-3</v>
      </c>
    </row>
    <row r="38" spans="1:7">
      <c r="A38" s="58">
        <v>45724</v>
      </c>
      <c r="B38">
        <v>13.74</v>
      </c>
      <c r="C38" s="34">
        <f t="shared" si="0"/>
        <v>5.1207022677395297E-3</v>
      </c>
      <c r="E38" s="58">
        <v>45724</v>
      </c>
      <c r="F38" s="33">
        <v>79857.789999999994</v>
      </c>
      <c r="G38" s="34">
        <f t="shared" si="1"/>
        <v>-9.1797950461590672E-3</v>
      </c>
    </row>
    <row r="39" spans="1:7">
      <c r="A39" t="s">
        <v>264</v>
      </c>
      <c r="B39">
        <v>13.83</v>
      </c>
      <c r="C39" s="34">
        <f t="shared" si="0"/>
        <v>6.5502183406114245E-3</v>
      </c>
      <c r="E39" t="s">
        <v>264</v>
      </c>
      <c r="F39" s="33">
        <v>80599.91</v>
      </c>
      <c r="G39" s="34">
        <f t="shared" si="1"/>
        <v>9.2930195037954633E-3</v>
      </c>
    </row>
    <row r="40" spans="1:7">
      <c r="A40" t="s">
        <v>266</v>
      </c>
      <c r="B40">
        <v>13.82</v>
      </c>
      <c r="C40" s="34">
        <f t="shared" si="0"/>
        <v>-7.2306579898773204E-4</v>
      </c>
      <c r="E40" t="s">
        <v>266</v>
      </c>
      <c r="F40" s="33">
        <v>81463.09</v>
      </c>
      <c r="G40" s="34">
        <f t="shared" si="1"/>
        <v>1.0709441238829998E-2</v>
      </c>
    </row>
    <row r="41" spans="1:7">
      <c r="A41" t="s">
        <v>268</v>
      </c>
      <c r="B41">
        <v>14.57</v>
      </c>
      <c r="C41" s="34">
        <f t="shared" si="0"/>
        <v>5.4269175108538459E-2</v>
      </c>
      <c r="E41" t="s">
        <v>268</v>
      </c>
      <c r="F41" s="33">
        <v>81757.73</v>
      </c>
      <c r="G41" s="34">
        <f t="shared" si="1"/>
        <v>3.6168527366198244E-3</v>
      </c>
    </row>
    <row r="42" spans="1:7">
      <c r="A42" s="58">
        <v>45815</v>
      </c>
      <c r="B42">
        <v>14.64</v>
      </c>
      <c r="C42" s="34">
        <f t="shared" si="0"/>
        <v>4.8043925875085325E-3</v>
      </c>
      <c r="E42" s="58">
        <v>45815</v>
      </c>
      <c r="F42" s="33">
        <v>82500.47</v>
      </c>
      <c r="G42" s="34">
        <f t="shared" si="1"/>
        <v>9.0846455741862009E-3</v>
      </c>
    </row>
    <row r="43" spans="1:7">
      <c r="A43" t="s">
        <v>271</v>
      </c>
      <c r="B43">
        <v>14.84</v>
      </c>
      <c r="C43" s="34">
        <f t="shared" si="0"/>
        <v>1.3661202185792254E-2</v>
      </c>
      <c r="E43" t="s">
        <v>271</v>
      </c>
      <c r="F43" s="33">
        <v>83432.89</v>
      </c>
      <c r="G43" s="34">
        <f t="shared" si="1"/>
        <v>1.1301996218930688E-2</v>
      </c>
    </row>
    <row r="44" spans="1:7">
      <c r="A44" t="s">
        <v>273</v>
      </c>
      <c r="B44">
        <v>14.4</v>
      </c>
      <c r="C44" s="34">
        <f t="shared" si="0"/>
        <v>-2.9649595687331498E-2</v>
      </c>
      <c r="E44" t="s">
        <v>273</v>
      </c>
      <c r="F44" s="33">
        <v>84058.9</v>
      </c>
      <c r="G44" s="34">
        <f t="shared" si="1"/>
        <v>7.5031561294351956E-3</v>
      </c>
    </row>
    <row r="45" spans="1:7">
      <c r="A45" t="s">
        <v>275</v>
      </c>
      <c r="B45">
        <v>14.71</v>
      </c>
      <c r="C45" s="34">
        <f t="shared" si="0"/>
        <v>2.1527777777777812E-2</v>
      </c>
      <c r="E45" t="s">
        <v>275</v>
      </c>
      <c r="F45" s="33">
        <v>82408.17</v>
      </c>
      <c r="G45" s="34">
        <f t="shared" si="1"/>
        <v>-1.9637777796283284E-2</v>
      </c>
    </row>
    <row r="46" spans="1:7">
      <c r="A46" s="58">
        <v>45875</v>
      </c>
      <c r="B46">
        <v>14.84</v>
      </c>
      <c r="C46" s="34">
        <f t="shared" si="0"/>
        <v>8.8375254928618752E-3</v>
      </c>
      <c r="E46" s="58">
        <v>45875</v>
      </c>
      <c r="F46" s="33">
        <v>81118.600000000006</v>
      </c>
      <c r="G46" s="34">
        <f t="shared" si="1"/>
        <v>-1.5648569795931544E-2</v>
      </c>
    </row>
    <row r="47" spans="1:7">
      <c r="A47" s="58">
        <v>45663</v>
      </c>
      <c r="B47">
        <v>14.85</v>
      </c>
      <c r="C47" s="34">
        <f t="shared" si="0"/>
        <v>6.738544474393926E-4</v>
      </c>
      <c r="E47" s="58">
        <v>45663</v>
      </c>
      <c r="F47" s="33">
        <v>82188.990000000005</v>
      </c>
      <c r="G47" s="34">
        <f t="shared" si="1"/>
        <v>1.319537072878485E-2</v>
      </c>
    </row>
    <row r="48" spans="1:7">
      <c r="A48" t="s">
        <v>279</v>
      </c>
      <c r="B48">
        <v>15.11</v>
      </c>
      <c r="C48" s="34">
        <f t="shared" si="0"/>
        <v>1.7508417508417473E-2</v>
      </c>
      <c r="E48" t="s">
        <v>279</v>
      </c>
      <c r="F48" s="33">
        <v>81451.009999999995</v>
      </c>
      <c r="G48" s="34">
        <f t="shared" si="1"/>
        <v>-8.9790615507017169E-3</v>
      </c>
    </row>
    <row r="49" spans="1:7">
      <c r="A49" t="s">
        <v>281</v>
      </c>
      <c r="B49">
        <v>13.99</v>
      </c>
      <c r="C49" s="34">
        <f t="shared" si="0"/>
        <v>-7.4123097286565187E-2</v>
      </c>
      <c r="E49" t="s">
        <v>281</v>
      </c>
      <c r="F49" s="33">
        <v>81721.08</v>
      </c>
      <c r="G49" s="34">
        <f t="shared" si="1"/>
        <v>3.3157354340971334E-3</v>
      </c>
    </row>
    <row r="50" spans="1:7">
      <c r="A50" s="58">
        <v>45966</v>
      </c>
      <c r="B50">
        <v>14.13</v>
      </c>
      <c r="C50" s="34">
        <f t="shared" si="0"/>
        <v>1.0007147962830532E-2</v>
      </c>
      <c r="E50" s="58">
        <v>45966</v>
      </c>
      <c r="F50" s="33">
        <v>82330.59</v>
      </c>
      <c r="G50" s="34">
        <f t="shared" si="1"/>
        <v>7.4584183175259167E-3</v>
      </c>
    </row>
    <row r="51" spans="1:7">
      <c r="A51" s="58">
        <v>45752</v>
      </c>
      <c r="B51">
        <v>13.3</v>
      </c>
      <c r="C51" s="34">
        <f t="shared" si="0"/>
        <v>-5.8740268931351758E-2</v>
      </c>
      <c r="E51" s="58">
        <v>45752</v>
      </c>
      <c r="F51" s="33">
        <v>79454.47</v>
      </c>
      <c r="G51" s="34">
        <f t="shared" si="1"/>
        <v>-3.4933795567358317E-2</v>
      </c>
    </row>
    <row r="52" spans="1:7">
      <c r="A52" t="s">
        <v>285</v>
      </c>
      <c r="B52">
        <v>13.81</v>
      </c>
      <c r="C52" s="34">
        <f t="shared" si="0"/>
        <v>3.8345864661654128E-2</v>
      </c>
      <c r="E52" t="s">
        <v>285</v>
      </c>
      <c r="F52" s="33">
        <v>80501.990000000005</v>
      </c>
      <c r="G52" s="34">
        <f t="shared" si="1"/>
        <v>1.3183902680365289E-2</v>
      </c>
    </row>
    <row r="53" spans="1:7">
      <c r="A53" t="s">
        <v>287</v>
      </c>
      <c r="B53">
        <v>13.35</v>
      </c>
      <c r="C53" s="34">
        <f t="shared" si="0"/>
        <v>-3.3309196234612704E-2</v>
      </c>
      <c r="E53" t="s">
        <v>287</v>
      </c>
      <c r="F53" s="33">
        <v>79212.53</v>
      </c>
      <c r="G53" s="34">
        <f t="shared" si="1"/>
        <v>-1.6017740679454051E-2</v>
      </c>
    </row>
    <row r="54" spans="1:7">
      <c r="A54" t="s">
        <v>289</v>
      </c>
      <c r="B54">
        <v>13.82</v>
      </c>
      <c r="C54" s="34">
        <f t="shared" si="0"/>
        <v>3.5205992509363293E-2</v>
      </c>
      <c r="E54" t="s">
        <v>289</v>
      </c>
      <c r="F54" s="33">
        <v>78553.2</v>
      </c>
      <c r="G54" s="34">
        <f t="shared" si="1"/>
        <v>-8.323556891820072E-3</v>
      </c>
    </row>
    <row r="55" spans="1:7">
      <c r="A55" s="58">
        <v>45812</v>
      </c>
      <c r="B55">
        <v>14.36</v>
      </c>
      <c r="C55" s="34">
        <f t="shared" si="0"/>
        <v>3.9073806078147477E-2</v>
      </c>
      <c r="E55" s="58">
        <v>45812</v>
      </c>
      <c r="F55" s="33">
        <v>75157.259999999995</v>
      </c>
      <c r="G55" s="34">
        <f t="shared" si="1"/>
        <v>-4.3231084156978961E-2</v>
      </c>
    </row>
    <row r="56" spans="1:7">
      <c r="A56" t="s">
        <v>292</v>
      </c>
      <c r="B56">
        <v>14.44</v>
      </c>
      <c r="C56" s="34">
        <f t="shared" si="0"/>
        <v>5.5710306406684396E-3</v>
      </c>
      <c r="E56" t="s">
        <v>292</v>
      </c>
      <c r="F56" s="33">
        <v>75364.69</v>
      </c>
      <c r="G56" s="34">
        <f t="shared" si="1"/>
        <v>2.7599462779777095E-3</v>
      </c>
    </row>
    <row r="57" spans="1:7">
      <c r="A57" t="s">
        <v>294</v>
      </c>
      <c r="B57">
        <v>13.33</v>
      </c>
      <c r="C57" s="34">
        <f t="shared" si="0"/>
        <v>-7.6869806094182813E-2</v>
      </c>
      <c r="E57" t="s">
        <v>294</v>
      </c>
      <c r="F57" s="33">
        <v>77414.92</v>
      </c>
      <c r="G57" s="34">
        <f t="shared" si="1"/>
        <v>2.7204119064246024E-2</v>
      </c>
    </row>
    <row r="58" spans="1:7">
      <c r="A58" t="s">
        <v>296</v>
      </c>
      <c r="B58">
        <v>14.38</v>
      </c>
      <c r="C58" s="34">
        <f t="shared" si="0"/>
        <v>7.876969242310583E-2</v>
      </c>
      <c r="E58" t="s">
        <v>296</v>
      </c>
      <c r="F58" s="33">
        <v>76905.509999999995</v>
      </c>
      <c r="G58" s="34">
        <f t="shared" si="1"/>
        <v>-6.5802561056705899E-3</v>
      </c>
    </row>
    <row r="59" spans="1:7">
      <c r="A59" s="58">
        <v>45903</v>
      </c>
      <c r="B59">
        <v>12.4</v>
      </c>
      <c r="C59" s="34">
        <f t="shared" si="0"/>
        <v>-0.13769123783031989</v>
      </c>
      <c r="E59" s="58">
        <v>45903</v>
      </c>
      <c r="F59" s="33">
        <v>73828.91</v>
      </c>
      <c r="G59" s="34">
        <f t="shared" si="1"/>
        <v>-4.0004935927217544E-2</v>
      </c>
    </row>
    <row r="60" spans="1:7">
      <c r="A60" s="58">
        <v>45691</v>
      </c>
      <c r="B60">
        <v>13.35</v>
      </c>
      <c r="C60" s="34">
        <f t="shared" si="0"/>
        <v>7.6612903225806495E-2</v>
      </c>
      <c r="E60" s="58">
        <v>45691</v>
      </c>
      <c r="F60" s="33">
        <v>74332.58</v>
      </c>
      <c r="G60" s="34">
        <f t="shared" si="1"/>
        <v>6.8221242870847298E-3</v>
      </c>
    </row>
    <row r="61" spans="1:7">
      <c r="A61" t="s">
        <v>300</v>
      </c>
      <c r="B61">
        <v>12.76</v>
      </c>
      <c r="C61" s="34">
        <f t="shared" si="0"/>
        <v>-4.4194756554307157E-2</v>
      </c>
      <c r="E61" t="s">
        <v>300</v>
      </c>
      <c r="F61" s="33">
        <v>73198.100000000006</v>
      </c>
      <c r="G61" s="34">
        <f t="shared" si="1"/>
        <v>-1.5262217455656701E-2</v>
      </c>
    </row>
    <row r="62" spans="1:7">
      <c r="A62" t="s">
        <v>302</v>
      </c>
      <c r="B62">
        <v>13.32</v>
      </c>
      <c r="C62" s="34">
        <f t="shared" si="0"/>
        <v>4.3887147335423204E-2</v>
      </c>
      <c r="E62" t="s">
        <v>302</v>
      </c>
      <c r="F62" s="33">
        <v>75311.06</v>
      </c>
      <c r="G62" s="34">
        <f t="shared" si="1"/>
        <v>2.8866323032974872E-2</v>
      </c>
    </row>
    <row r="63" spans="1:7">
      <c r="A63" s="58">
        <v>45902</v>
      </c>
      <c r="B63">
        <v>12.93</v>
      </c>
      <c r="C63" s="34">
        <f t="shared" si="0"/>
        <v>-2.9279279279279313E-2</v>
      </c>
      <c r="E63" s="58">
        <v>45902</v>
      </c>
      <c r="F63" s="33">
        <v>75939.210000000006</v>
      </c>
      <c r="G63" s="34">
        <f t="shared" si="1"/>
        <v>8.3407403905881861E-3</v>
      </c>
    </row>
    <row r="64" spans="1:7">
      <c r="A64" s="58">
        <v>45690</v>
      </c>
      <c r="B64">
        <v>14.91</v>
      </c>
      <c r="C64" s="34">
        <f t="shared" si="0"/>
        <v>0.15313225058004654</v>
      </c>
      <c r="E64" s="58">
        <v>45690</v>
      </c>
      <c r="F64" s="33">
        <v>77860.19</v>
      </c>
      <c r="G64" s="34">
        <f t="shared" si="1"/>
        <v>2.5296286332185947E-2</v>
      </c>
    </row>
    <row r="65" spans="1:7">
      <c r="A65" t="s">
        <v>306</v>
      </c>
      <c r="B65">
        <v>14.71</v>
      </c>
      <c r="C65" s="34">
        <f t="shared" si="0"/>
        <v>-1.3413816230717579E-2</v>
      </c>
      <c r="E65" t="s">
        <v>306</v>
      </c>
      <c r="F65" s="33">
        <v>76190.460000000006</v>
      </c>
      <c r="G65" s="34">
        <f t="shared" si="1"/>
        <v>-2.1445234079187303E-2</v>
      </c>
    </row>
    <row r="66" spans="1:7">
      <c r="A66" t="s">
        <v>308</v>
      </c>
      <c r="B66">
        <v>16.3</v>
      </c>
      <c r="C66" s="34">
        <f t="shared" si="0"/>
        <v>0.10808973487423512</v>
      </c>
      <c r="E66" t="s">
        <v>308</v>
      </c>
      <c r="F66" s="33">
        <v>76619.33</v>
      </c>
      <c r="G66" s="34">
        <f t="shared" si="1"/>
        <v>5.6289199461454498E-3</v>
      </c>
    </row>
    <row r="67" spans="1:7">
      <c r="A67" s="58">
        <v>45992</v>
      </c>
      <c r="B67">
        <v>18.239999999999998</v>
      </c>
      <c r="C67" s="34">
        <f t="shared" si="0"/>
        <v>0.11901840490797522</v>
      </c>
      <c r="E67" s="58">
        <v>45992</v>
      </c>
      <c r="F67" s="33">
        <v>77378.91</v>
      </c>
      <c r="G67" s="34">
        <f t="shared" si="1"/>
        <v>9.9136862721196373E-3</v>
      </c>
    </row>
    <row r="68" spans="1:7">
      <c r="A68" s="58">
        <v>45778</v>
      </c>
      <c r="B68">
        <v>17.79</v>
      </c>
      <c r="C68" s="34">
        <f t="shared" si="0"/>
        <v>-2.4671052631578871E-2</v>
      </c>
      <c r="E68" s="58">
        <v>45778</v>
      </c>
      <c r="F68" s="33">
        <v>79223.11</v>
      </c>
      <c r="G68" s="34">
        <f t="shared" si="1"/>
        <v>2.3833367515774029E-2</v>
      </c>
    </row>
    <row r="69" spans="1:7">
      <c r="A69" t="s">
        <v>312</v>
      </c>
      <c r="B69">
        <v>20.6</v>
      </c>
      <c r="C69" s="34">
        <f t="shared" si="0"/>
        <v>0.15795390668915132</v>
      </c>
      <c r="E69" t="s">
        <v>312</v>
      </c>
      <c r="F69" s="33">
        <v>78699.070000000007</v>
      </c>
      <c r="G69" s="34">
        <f t="shared" si="1"/>
        <v>-6.6147365333170116E-3</v>
      </c>
    </row>
    <row r="70" spans="1:7">
      <c r="A70" t="s">
        <v>314</v>
      </c>
      <c r="B70">
        <v>19.190000000000001</v>
      </c>
      <c r="C70" s="34">
        <f t="shared" si="0"/>
        <v>-6.8446601941747565E-2</v>
      </c>
      <c r="E70" t="s">
        <v>314</v>
      </c>
      <c r="F70" s="33">
        <v>78041.59</v>
      </c>
      <c r="G70" s="34">
        <f t="shared" si="1"/>
        <v>-8.3543553945428783E-3</v>
      </c>
    </row>
    <row r="71" spans="1:7">
      <c r="A71" t="s">
        <v>316</v>
      </c>
      <c r="B71">
        <v>20.8</v>
      </c>
      <c r="C71" s="34">
        <f t="shared" si="0"/>
        <v>8.389786347055761E-2</v>
      </c>
      <c r="E71" t="s">
        <v>316</v>
      </c>
      <c r="F71" s="33">
        <v>82133.119999999995</v>
      </c>
      <c r="G71" s="34">
        <f t="shared" si="1"/>
        <v>5.2427558177633227E-2</v>
      </c>
    </row>
    <row r="72" spans="1:7">
      <c r="A72" s="58">
        <v>45516</v>
      </c>
      <c r="B72">
        <v>19.73</v>
      </c>
      <c r="C72" s="34">
        <f t="shared" si="0"/>
        <v>-5.1442307692307732E-2</v>
      </c>
      <c r="E72" s="58">
        <v>45516</v>
      </c>
      <c r="F72" s="33">
        <v>81709.119999999995</v>
      </c>
      <c r="G72" s="34">
        <f t="shared" si="1"/>
        <v>-5.162351071041793E-3</v>
      </c>
    </row>
    <row r="73" spans="1:7">
      <c r="A73" s="58">
        <v>45303</v>
      </c>
      <c r="B73">
        <v>16.82</v>
      </c>
      <c r="C73" s="34">
        <f t="shared" si="0"/>
        <v>-0.14749113025848959</v>
      </c>
      <c r="E73" s="58">
        <v>45303</v>
      </c>
      <c r="F73" s="33">
        <v>79802.789999999994</v>
      </c>
      <c r="G73" s="34">
        <f t="shared" si="1"/>
        <v>-2.3330688177770176E-2</v>
      </c>
    </row>
    <row r="74" spans="1:7">
      <c r="A74" t="s">
        <v>320</v>
      </c>
      <c r="B74">
        <v>16.420000000000002</v>
      </c>
      <c r="C74" s="34">
        <f t="shared" si="0"/>
        <v>-2.378121284185486E-2</v>
      </c>
      <c r="E74" t="s">
        <v>320</v>
      </c>
      <c r="F74" s="33">
        <v>79117.11</v>
      </c>
      <c r="G74" s="34">
        <f t="shared" si="1"/>
        <v>-8.592180799693705E-3</v>
      </c>
    </row>
    <row r="75" spans="1:7">
      <c r="A75" t="s">
        <v>322</v>
      </c>
      <c r="B75">
        <v>15.53</v>
      </c>
      <c r="C75" s="34">
        <f t="shared" si="0"/>
        <v>-5.4202192448233988E-2</v>
      </c>
      <c r="E75" t="s">
        <v>322</v>
      </c>
      <c r="F75" s="33">
        <v>77580.31</v>
      </c>
      <c r="G75" s="34">
        <f t="shared" si="1"/>
        <v>-1.9424369772859551E-2</v>
      </c>
    </row>
    <row r="76" spans="1:7">
      <c r="A76" s="58">
        <v>45576</v>
      </c>
      <c r="B76">
        <v>15.39</v>
      </c>
      <c r="C76" s="34">
        <f t="shared" si="0"/>
        <v>-9.0148100450739843E-3</v>
      </c>
      <c r="E76" s="58">
        <v>45576</v>
      </c>
      <c r="F76" s="33">
        <v>79486.320000000007</v>
      </c>
      <c r="G76" s="34">
        <f t="shared" si="1"/>
        <v>2.4568218404902087E-2</v>
      </c>
    </row>
    <row r="77" spans="1:7">
      <c r="A77" s="58">
        <v>45362</v>
      </c>
      <c r="B77">
        <v>15.89</v>
      </c>
      <c r="C77" s="34">
        <f t="shared" si="0"/>
        <v>3.2488628979857159E-2</v>
      </c>
      <c r="E77" s="58">
        <v>45362</v>
      </c>
      <c r="F77" s="33">
        <v>79724.12</v>
      </c>
      <c r="G77" s="34">
        <f t="shared" si="1"/>
        <v>2.9917097684228899E-3</v>
      </c>
    </row>
    <row r="78" spans="1:7">
      <c r="A78" t="s">
        <v>326</v>
      </c>
      <c r="B78">
        <v>16.670000000000002</v>
      </c>
      <c r="C78" s="34">
        <f t="shared" si="0"/>
        <v>4.9087476400251795E-2</v>
      </c>
      <c r="E78" t="s">
        <v>326</v>
      </c>
      <c r="F78" s="33">
        <v>79402.289999999994</v>
      </c>
      <c r="G78" s="34">
        <f t="shared" si="1"/>
        <v>-4.0367958906288859E-3</v>
      </c>
    </row>
    <row r="79" spans="1:7">
      <c r="A79" t="s">
        <v>328</v>
      </c>
      <c r="B79">
        <v>15.82</v>
      </c>
      <c r="C79" s="34">
        <f t="shared" ref="C79:C120" si="2">B79/B78-1</f>
        <v>-5.0989802039592136E-2</v>
      </c>
      <c r="E79" t="s">
        <v>328</v>
      </c>
      <c r="F79" s="33">
        <v>81224.75</v>
      </c>
      <c r="G79" s="34">
        <f t="shared" ref="G79:G120" si="3">F79/F78-1</f>
        <v>2.2952234752927181E-2</v>
      </c>
    </row>
    <row r="80" spans="1:7">
      <c r="A80" t="s">
        <v>330</v>
      </c>
      <c r="B80">
        <v>17.22</v>
      </c>
      <c r="C80" s="34">
        <f t="shared" si="2"/>
        <v>8.8495575221238854E-2</v>
      </c>
      <c r="E80" t="s">
        <v>330</v>
      </c>
      <c r="F80" s="33">
        <v>81381.36</v>
      </c>
      <c r="G80" s="34">
        <f t="shared" si="3"/>
        <v>1.9281068886023434E-3</v>
      </c>
    </row>
    <row r="81" spans="1:7">
      <c r="A81" s="58">
        <v>45453</v>
      </c>
      <c r="B81">
        <v>18.420000000000002</v>
      </c>
      <c r="C81" s="34">
        <f t="shared" si="2"/>
        <v>6.9686411149825878E-2</v>
      </c>
      <c r="E81" s="58">
        <v>45453</v>
      </c>
      <c r="F81" s="33">
        <v>81688.45</v>
      </c>
      <c r="G81" s="34">
        <f t="shared" si="3"/>
        <v>3.7734685190808914E-3</v>
      </c>
    </row>
    <row r="82" spans="1:7">
      <c r="A82" t="s">
        <v>333</v>
      </c>
      <c r="B82">
        <v>17.22</v>
      </c>
      <c r="C82" s="34">
        <f t="shared" si="2"/>
        <v>-6.5146579804560401E-2</v>
      </c>
      <c r="E82" t="s">
        <v>333</v>
      </c>
      <c r="F82" s="33">
        <v>85571.85</v>
      </c>
      <c r="G82" s="34">
        <f t="shared" si="3"/>
        <v>4.7539156392366388E-2</v>
      </c>
    </row>
    <row r="83" spans="1:7">
      <c r="A83" t="s">
        <v>335</v>
      </c>
      <c r="B83">
        <v>17.77</v>
      </c>
      <c r="C83" s="34">
        <f t="shared" si="2"/>
        <v>3.1939605110336888E-2</v>
      </c>
      <c r="E83" t="s">
        <v>335</v>
      </c>
      <c r="F83" s="33">
        <v>84544.31</v>
      </c>
      <c r="G83" s="34">
        <f t="shared" si="3"/>
        <v>-1.2007920829104513E-2</v>
      </c>
    </row>
    <row r="84" spans="1:7">
      <c r="A84" t="s">
        <v>337</v>
      </c>
      <c r="B84">
        <v>18.149999999999999</v>
      </c>
      <c r="C84" s="34">
        <f t="shared" si="2"/>
        <v>2.1384355655599263E-2</v>
      </c>
      <c r="E84" t="s">
        <v>337</v>
      </c>
      <c r="F84" s="33">
        <v>82890.94</v>
      </c>
      <c r="G84" s="34">
        <f t="shared" si="3"/>
        <v>-1.9556253992728756E-2</v>
      </c>
    </row>
    <row r="85" spans="1:7">
      <c r="A85" s="58">
        <v>45513</v>
      </c>
      <c r="B85">
        <v>20.149999999999999</v>
      </c>
      <c r="C85" s="34">
        <f t="shared" si="2"/>
        <v>0.11019283746556474</v>
      </c>
      <c r="E85" s="58">
        <v>45513</v>
      </c>
      <c r="F85" s="33">
        <v>81183.929999999993</v>
      </c>
      <c r="G85" s="34">
        <f t="shared" si="3"/>
        <v>-2.0593444832451069E-2</v>
      </c>
    </row>
    <row r="86" spans="1:7">
      <c r="A86" s="58">
        <v>45300</v>
      </c>
      <c r="B86">
        <v>20.73</v>
      </c>
      <c r="C86" s="34">
        <f t="shared" si="2"/>
        <v>2.8784119106699757E-2</v>
      </c>
      <c r="E86" s="58">
        <v>45300</v>
      </c>
      <c r="F86" s="33">
        <v>82365.77</v>
      </c>
      <c r="G86" s="34">
        <f t="shared" si="3"/>
        <v>1.4557560837471284E-2</v>
      </c>
    </row>
    <row r="87" spans="1:7">
      <c r="A87" t="s">
        <v>341</v>
      </c>
      <c r="B87">
        <v>18.04</v>
      </c>
      <c r="C87" s="34">
        <f t="shared" si="2"/>
        <v>-0.12976362759286064</v>
      </c>
      <c r="E87" t="s">
        <v>341</v>
      </c>
      <c r="F87" s="33">
        <v>81086.210000000006</v>
      </c>
      <c r="G87" s="34">
        <f t="shared" si="3"/>
        <v>-1.5535094250924808E-2</v>
      </c>
    </row>
    <row r="88" spans="1:7">
      <c r="A88" t="s">
        <v>343</v>
      </c>
      <c r="B88">
        <v>17.739999999999998</v>
      </c>
      <c r="C88" s="34">
        <f t="shared" si="2"/>
        <v>-1.6629711751663057E-2</v>
      </c>
      <c r="E88" t="s">
        <v>343</v>
      </c>
      <c r="F88" s="33">
        <v>80436.84</v>
      </c>
      <c r="G88" s="34">
        <f t="shared" si="3"/>
        <v>-8.0083900826047882E-3</v>
      </c>
    </row>
    <row r="89" spans="1:7">
      <c r="A89" s="58">
        <v>45604</v>
      </c>
      <c r="B89">
        <v>16.61</v>
      </c>
      <c r="C89" s="34">
        <f t="shared" si="2"/>
        <v>-6.3697857948139758E-2</v>
      </c>
      <c r="E89" s="58">
        <v>45604</v>
      </c>
      <c r="F89" s="33">
        <v>79705.91</v>
      </c>
      <c r="G89" s="34">
        <f t="shared" si="3"/>
        <v>-9.0870054069751571E-3</v>
      </c>
    </row>
    <row r="90" spans="1:7">
      <c r="A90" s="58">
        <v>45390</v>
      </c>
      <c r="B90">
        <v>16.54</v>
      </c>
      <c r="C90" s="34">
        <f t="shared" si="2"/>
        <v>-4.2143287176400479E-3</v>
      </c>
      <c r="E90" s="58">
        <v>45390</v>
      </c>
      <c r="F90" s="33">
        <v>80981.95</v>
      </c>
      <c r="G90" s="34">
        <f t="shared" si="3"/>
        <v>1.6009352380519815E-2</v>
      </c>
    </row>
    <row r="91" spans="1:7">
      <c r="A91" t="s">
        <v>347</v>
      </c>
      <c r="B91">
        <v>15.27</v>
      </c>
      <c r="C91" s="34">
        <f t="shared" si="2"/>
        <v>-7.6783555018137828E-2</v>
      </c>
      <c r="E91" t="s">
        <v>347</v>
      </c>
      <c r="F91" s="33">
        <v>81332.72</v>
      </c>
      <c r="G91" s="34">
        <f t="shared" si="3"/>
        <v>4.3314590473557679E-3</v>
      </c>
    </row>
    <row r="92" spans="1:7">
      <c r="A92" t="s">
        <v>349</v>
      </c>
      <c r="B92">
        <v>15.78</v>
      </c>
      <c r="C92" s="34">
        <f t="shared" si="2"/>
        <v>3.3398821218074692E-2</v>
      </c>
      <c r="E92" t="s">
        <v>349</v>
      </c>
      <c r="F92" s="33">
        <v>80604.649999999994</v>
      </c>
      <c r="G92" s="34">
        <f t="shared" si="3"/>
        <v>-8.9517478328525746E-3</v>
      </c>
    </row>
    <row r="93" spans="1:7">
      <c r="A93" t="s">
        <v>351</v>
      </c>
      <c r="B93">
        <v>14.52</v>
      </c>
      <c r="C93" s="34">
        <f t="shared" si="2"/>
        <v>-7.9847908745247165E-2</v>
      </c>
      <c r="E93" t="s">
        <v>351</v>
      </c>
      <c r="F93" s="33">
        <v>80519.34</v>
      </c>
      <c r="G93" s="34">
        <f t="shared" si="3"/>
        <v>-1.0583756644312325E-3</v>
      </c>
    </row>
    <row r="94" spans="1:7">
      <c r="A94" s="58">
        <v>45480</v>
      </c>
      <c r="B94">
        <v>13.03</v>
      </c>
      <c r="C94" s="34">
        <f t="shared" si="2"/>
        <v>-0.10261707988980717</v>
      </c>
      <c r="E94" s="58">
        <v>45480</v>
      </c>
      <c r="F94" s="33">
        <v>79996.600000000006</v>
      </c>
      <c r="G94" s="34">
        <f t="shared" si="3"/>
        <v>-6.4921048781571011E-3</v>
      </c>
    </row>
    <row r="95" spans="1:7">
      <c r="A95" t="s">
        <v>354</v>
      </c>
      <c r="B95">
        <v>13.45</v>
      </c>
      <c r="C95" s="34">
        <f t="shared" si="2"/>
        <v>3.2233307751343032E-2</v>
      </c>
      <c r="E95" t="s">
        <v>354</v>
      </c>
      <c r="F95" s="33">
        <v>79032.73</v>
      </c>
      <c r="G95" s="34">
        <f t="shared" si="3"/>
        <v>-1.2048887077700909E-2</v>
      </c>
    </row>
    <row r="96" spans="1:7">
      <c r="A96" t="s">
        <v>356</v>
      </c>
      <c r="B96">
        <v>13.23</v>
      </c>
      <c r="C96" s="34">
        <f t="shared" si="2"/>
        <v>-1.6356877323419949E-2</v>
      </c>
      <c r="E96" t="s">
        <v>356</v>
      </c>
      <c r="F96" s="33">
        <v>77209.899999999994</v>
      </c>
      <c r="G96" s="34">
        <f t="shared" si="3"/>
        <v>-2.3064241865363933E-2</v>
      </c>
    </row>
    <row r="97" spans="1:7">
      <c r="A97" t="s">
        <v>358</v>
      </c>
      <c r="B97">
        <v>12.29</v>
      </c>
      <c r="C97" s="34">
        <f t="shared" si="2"/>
        <v>-7.1050642479213999E-2</v>
      </c>
      <c r="E97" t="s">
        <v>358</v>
      </c>
      <c r="F97" s="33">
        <v>76992.77</v>
      </c>
      <c r="G97" s="34">
        <f t="shared" si="3"/>
        <v>-2.8122041344437188E-3</v>
      </c>
    </row>
    <row r="98" spans="1:7">
      <c r="A98" s="58">
        <v>45541</v>
      </c>
      <c r="B98">
        <v>13.05</v>
      </c>
      <c r="C98" s="34">
        <f t="shared" si="2"/>
        <v>6.1838893409275952E-2</v>
      </c>
      <c r="E98" s="58">
        <v>45541</v>
      </c>
      <c r="F98" s="33">
        <v>76693.36</v>
      </c>
      <c r="G98" s="34">
        <f t="shared" si="3"/>
        <v>-3.8888067022397887E-3</v>
      </c>
    </row>
    <row r="99" spans="1:7">
      <c r="A99" s="58">
        <v>45328</v>
      </c>
      <c r="B99">
        <v>12.07</v>
      </c>
      <c r="C99" s="34">
        <f t="shared" si="2"/>
        <v>-7.5095785440613017E-2</v>
      </c>
      <c r="E99" s="58">
        <v>45328</v>
      </c>
      <c r="F99" s="33">
        <v>73961.31</v>
      </c>
      <c r="G99" s="34">
        <f t="shared" si="3"/>
        <v>-3.5623031772242131E-2</v>
      </c>
    </row>
    <row r="100" spans="1:7">
      <c r="A100" t="s">
        <v>362</v>
      </c>
      <c r="B100">
        <v>13.12</v>
      </c>
      <c r="C100" s="34">
        <f t="shared" si="2"/>
        <v>8.6992543496271724E-2</v>
      </c>
      <c r="E100" t="s">
        <v>362</v>
      </c>
      <c r="F100" s="33">
        <v>75410.39</v>
      </c>
      <c r="G100" s="34">
        <f t="shared" si="3"/>
        <v>1.959240581325572E-2</v>
      </c>
    </row>
    <row r="101" spans="1:7">
      <c r="A101" t="s">
        <v>364</v>
      </c>
      <c r="B101">
        <v>13.95</v>
      </c>
      <c r="C101" s="34">
        <f t="shared" si="2"/>
        <v>6.3262195121951192E-2</v>
      </c>
      <c r="E101" t="s">
        <v>364</v>
      </c>
      <c r="F101" s="33">
        <v>74005.94</v>
      </c>
      <c r="G101" s="34">
        <f t="shared" si="3"/>
        <v>-1.8624091454771619E-2</v>
      </c>
    </row>
    <row r="102" spans="1:7">
      <c r="A102" s="58">
        <v>45631</v>
      </c>
      <c r="B102">
        <v>15.14</v>
      </c>
      <c r="C102" s="34">
        <f t="shared" si="2"/>
        <v>8.5304659498208091E-2</v>
      </c>
      <c r="E102" s="58">
        <v>45631</v>
      </c>
      <c r="F102" s="33">
        <v>72664.47</v>
      </c>
      <c r="G102" s="34">
        <f t="shared" si="3"/>
        <v>-1.8126517952477883E-2</v>
      </c>
    </row>
    <row r="103" spans="1:7">
      <c r="A103" s="58">
        <v>45417</v>
      </c>
      <c r="B103">
        <v>13.78</v>
      </c>
      <c r="C103" s="34">
        <f t="shared" si="2"/>
        <v>-8.9828269484808487E-2</v>
      </c>
      <c r="E103" s="58">
        <v>45417</v>
      </c>
      <c r="F103" s="33">
        <v>73878.149999999994</v>
      </c>
      <c r="G103" s="34">
        <f t="shared" si="3"/>
        <v>1.6702523255175405E-2</v>
      </c>
    </row>
    <row r="104" spans="1:7">
      <c r="A104" t="s">
        <v>368</v>
      </c>
      <c r="B104">
        <v>14.83</v>
      </c>
      <c r="C104" s="34">
        <f t="shared" si="2"/>
        <v>7.6197387518142312E-2</v>
      </c>
      <c r="E104" t="s">
        <v>368</v>
      </c>
      <c r="F104" s="33">
        <v>73730.16</v>
      </c>
      <c r="G104" s="34">
        <f t="shared" si="3"/>
        <v>-2.0031633168939855E-3</v>
      </c>
    </row>
    <row r="105" spans="1:7">
      <c r="A105" t="s">
        <v>370</v>
      </c>
      <c r="B105">
        <v>14.74</v>
      </c>
      <c r="C105" s="34">
        <f t="shared" si="2"/>
        <v>-6.0687795010114787E-3</v>
      </c>
      <c r="E105" t="s">
        <v>370</v>
      </c>
      <c r="F105" s="33">
        <v>73088.33</v>
      </c>
      <c r="G105" s="34">
        <f t="shared" si="3"/>
        <v>-8.7051214862412518E-3</v>
      </c>
    </row>
    <row r="106" spans="1:7">
      <c r="A106" t="s">
        <v>372</v>
      </c>
      <c r="B106">
        <v>15.18</v>
      </c>
      <c r="C106" s="34">
        <f t="shared" si="2"/>
        <v>2.9850746268656581E-2</v>
      </c>
      <c r="E106" t="s">
        <v>372</v>
      </c>
      <c r="F106" s="33">
        <v>74244.899999999994</v>
      </c>
      <c r="G106" s="34">
        <f t="shared" si="3"/>
        <v>1.5824277282022958E-2</v>
      </c>
    </row>
    <row r="107" spans="1:7">
      <c r="A107" s="58">
        <v>45477</v>
      </c>
      <c r="B107">
        <v>16.37</v>
      </c>
      <c r="C107" s="34">
        <f t="shared" si="2"/>
        <v>7.8392621870882806E-2</v>
      </c>
      <c r="E107" s="58">
        <v>45477</v>
      </c>
      <c r="F107" s="33">
        <v>74248.22</v>
      </c>
      <c r="G107" s="34">
        <f t="shared" si="3"/>
        <v>4.4716876176131848E-5</v>
      </c>
    </row>
    <row r="108" spans="1:7">
      <c r="A108" t="s">
        <v>375</v>
      </c>
      <c r="B108">
        <v>17.68</v>
      </c>
      <c r="C108" s="34">
        <f t="shared" si="2"/>
        <v>8.0024434941966982E-2</v>
      </c>
      <c r="E108" t="s">
        <v>375</v>
      </c>
      <c r="F108" s="33">
        <v>73651.350000000006</v>
      </c>
      <c r="G108" s="34">
        <f t="shared" si="3"/>
        <v>-8.0388459144205004E-3</v>
      </c>
    </row>
    <row r="109" spans="1:7">
      <c r="A109" t="s">
        <v>377</v>
      </c>
      <c r="B109">
        <v>14.96</v>
      </c>
      <c r="C109" s="34">
        <f t="shared" si="2"/>
        <v>-0.15384615384615374</v>
      </c>
      <c r="E109" t="s">
        <v>377</v>
      </c>
      <c r="F109" s="33">
        <v>72831.94</v>
      </c>
      <c r="G109" s="34">
        <f t="shared" si="3"/>
        <v>-1.1125525872913489E-2</v>
      </c>
    </row>
    <row r="110" spans="1:7">
      <c r="A110" t="s">
        <v>379</v>
      </c>
      <c r="B110">
        <v>16.32</v>
      </c>
      <c r="C110" s="34">
        <f t="shared" si="2"/>
        <v>9.0909090909090828E-2</v>
      </c>
      <c r="E110" t="s">
        <v>379</v>
      </c>
      <c r="F110" s="33">
        <v>72643.429999999993</v>
      </c>
      <c r="G110" s="34">
        <f t="shared" si="3"/>
        <v>-2.5882875013354401E-3</v>
      </c>
    </row>
    <row r="111" spans="1:7">
      <c r="A111" s="58">
        <v>45568</v>
      </c>
      <c r="B111">
        <v>16.239999999999998</v>
      </c>
      <c r="C111" s="34">
        <f t="shared" si="2"/>
        <v>-4.9019607843138191E-3</v>
      </c>
      <c r="E111" s="58">
        <v>45568</v>
      </c>
      <c r="F111" s="33">
        <v>74119.39</v>
      </c>
      <c r="G111" s="34">
        <f t="shared" si="3"/>
        <v>2.0317873206152415E-2</v>
      </c>
    </row>
    <row r="112" spans="1:7">
      <c r="A112" s="58">
        <v>45354</v>
      </c>
      <c r="B112">
        <v>18.91</v>
      </c>
      <c r="C112" s="34">
        <f t="shared" si="2"/>
        <v>0.16440886699507407</v>
      </c>
      <c r="E112" s="58">
        <v>45354</v>
      </c>
      <c r="F112" s="33">
        <v>73806.149999999994</v>
      </c>
      <c r="G112" s="34">
        <f t="shared" si="3"/>
        <v>-4.2261545865394101E-3</v>
      </c>
    </row>
    <row r="113" spans="1:7">
      <c r="A113" t="s">
        <v>383</v>
      </c>
      <c r="B113">
        <v>21.77</v>
      </c>
      <c r="C113" s="34">
        <f t="shared" si="2"/>
        <v>0.15124272871496558</v>
      </c>
      <c r="E113" t="s">
        <v>383</v>
      </c>
      <c r="F113" s="33">
        <v>73142.8</v>
      </c>
      <c r="G113" s="34">
        <f t="shared" si="3"/>
        <v>-8.987733407039844E-3</v>
      </c>
    </row>
    <row r="114" spans="1:7">
      <c r="A114" t="s">
        <v>385</v>
      </c>
      <c r="B114">
        <v>18.690000000000001</v>
      </c>
      <c r="C114" s="34">
        <f t="shared" si="2"/>
        <v>-0.14147909967845651</v>
      </c>
      <c r="E114" t="s">
        <v>385</v>
      </c>
      <c r="F114" s="33">
        <v>72426.64</v>
      </c>
      <c r="G114" s="34">
        <f t="shared" si="3"/>
        <v>-9.7912576494201264E-3</v>
      </c>
    </row>
    <row r="115" spans="1:7">
      <c r="A115" s="58">
        <v>45598</v>
      </c>
      <c r="B115">
        <v>17.2</v>
      </c>
      <c r="C115" s="34">
        <f t="shared" si="2"/>
        <v>-7.9721776350989981E-2</v>
      </c>
      <c r="E115" s="58">
        <v>45598</v>
      </c>
      <c r="F115" s="33">
        <v>71595.490000000005</v>
      </c>
      <c r="G115" s="34">
        <f t="shared" si="3"/>
        <v>-1.1475749806977076E-2</v>
      </c>
    </row>
    <row r="116" spans="1:7">
      <c r="A116" s="58">
        <v>45384</v>
      </c>
      <c r="B116">
        <v>17.989999999999998</v>
      </c>
      <c r="C116" s="34">
        <f t="shared" si="2"/>
        <v>4.5930232558139439E-2</v>
      </c>
      <c r="E116" s="58">
        <v>45384</v>
      </c>
      <c r="F116" s="33">
        <v>72085.63</v>
      </c>
      <c r="G116" s="34">
        <f t="shared" si="3"/>
        <v>6.8459619453682397E-3</v>
      </c>
    </row>
    <row r="117" spans="1:7">
      <c r="A117" t="s">
        <v>388</v>
      </c>
      <c r="B117">
        <v>17.38</v>
      </c>
      <c r="C117" s="34">
        <f t="shared" si="2"/>
        <v>-3.3907726514730396E-2</v>
      </c>
      <c r="E117" t="s">
        <v>388</v>
      </c>
      <c r="F117" s="33">
        <v>70700.67</v>
      </c>
      <c r="G117" s="34">
        <f t="shared" si="3"/>
        <v>-1.9212705777836847E-2</v>
      </c>
    </row>
    <row r="118" spans="1:7">
      <c r="A118" t="s">
        <v>390</v>
      </c>
      <c r="B118">
        <v>14</v>
      </c>
      <c r="C118" s="34">
        <f t="shared" si="2"/>
        <v>-0.19447640966628299</v>
      </c>
      <c r="E118" t="s">
        <v>390</v>
      </c>
      <c r="F118" s="33">
        <v>71423.649999999994</v>
      </c>
      <c r="G118" s="34">
        <f t="shared" si="3"/>
        <v>1.0225928552020758E-2</v>
      </c>
    </row>
    <row r="119" spans="1:7">
      <c r="A119" t="s">
        <v>392</v>
      </c>
      <c r="B119">
        <v>13.08</v>
      </c>
      <c r="C119" s="34">
        <f t="shared" si="2"/>
        <v>-6.5714285714285725E-2</v>
      </c>
      <c r="E119" t="s">
        <v>392</v>
      </c>
      <c r="F119" s="33">
        <v>72568.45</v>
      </c>
      <c r="G119" s="34">
        <f t="shared" si="3"/>
        <v>1.6028304350169664E-2</v>
      </c>
    </row>
    <row r="120" spans="1:7">
      <c r="A120" s="58">
        <v>45474</v>
      </c>
      <c r="B120">
        <v>12.9</v>
      </c>
      <c r="C120" s="34">
        <f t="shared" si="2"/>
        <v>-1.3761467889908285E-2</v>
      </c>
      <c r="E120" s="58">
        <v>45474</v>
      </c>
      <c r="F120" s="33">
        <v>72026.149999999994</v>
      </c>
      <c r="G120" s="34">
        <f t="shared" si="3"/>
        <v>-7.4729445096319846E-3</v>
      </c>
    </row>
  </sheetData>
  <mergeCells count="5">
    <mergeCell ref="A8:D8"/>
    <mergeCell ref="A10:C10"/>
    <mergeCell ref="E10:G10"/>
    <mergeCell ref="A1:N6"/>
    <mergeCell ref="I12:J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C30C-AA15-4CEC-9E7B-A9BC66368584}">
  <sheetPr>
    <tabColor theme="4" tint="-0.499984740745262"/>
  </sheetPr>
  <dimension ref="B3:Z119"/>
  <sheetViews>
    <sheetView showGridLines="0" workbookViewId="0">
      <selection activeCell="K11" sqref="K11:L20"/>
    </sheetView>
  </sheetViews>
  <sheetFormatPr defaultRowHeight="14.4"/>
  <cols>
    <col min="1" max="1" width="1.88671875" customWidth="1"/>
    <col min="2" max="2" width="9.88671875" bestFit="1" customWidth="1"/>
    <col min="6" max="6" width="12.77734375" bestFit="1" customWidth="1"/>
    <col min="7" max="7" width="10.88671875" bestFit="1" customWidth="1"/>
    <col min="18" max="18" width="17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2" bestFit="1" customWidth="1"/>
    <col min="23" max="23" width="12.88671875" bestFit="1" customWidth="1"/>
    <col min="24" max="25" width="12.6640625" bestFit="1" customWidth="1"/>
  </cols>
  <sheetData>
    <row r="3" spans="2:19">
      <c r="L3">
        <v>1</v>
      </c>
    </row>
    <row r="6" spans="2:19">
      <c r="B6" s="82" t="s">
        <v>215</v>
      </c>
      <c r="C6" s="82"/>
      <c r="D6" s="82"/>
      <c r="E6" s="82"/>
    </row>
    <row r="8" spans="2:19">
      <c r="B8" s="83" t="s">
        <v>214</v>
      </c>
      <c r="C8" s="83"/>
      <c r="D8" s="83"/>
      <c r="F8" s="83" t="s">
        <v>213</v>
      </c>
      <c r="G8" s="83"/>
      <c r="H8" s="83"/>
    </row>
    <row r="9" spans="2:19">
      <c r="R9" t="s">
        <v>188</v>
      </c>
    </row>
    <row r="10" spans="2:19" ht="15" thickBot="1">
      <c r="B10" s="49" t="s">
        <v>70</v>
      </c>
      <c r="C10" s="49" t="s">
        <v>71</v>
      </c>
      <c r="D10" s="50" t="s">
        <v>72</v>
      </c>
      <c r="E10" s="4"/>
      <c r="F10" s="49" t="s">
        <v>70</v>
      </c>
      <c r="G10" s="49" t="s">
        <v>71</v>
      </c>
      <c r="H10" s="50" t="s">
        <v>72</v>
      </c>
    </row>
    <row r="11" spans="2:19">
      <c r="B11" s="47" t="s">
        <v>132</v>
      </c>
      <c r="C11" s="33">
        <v>68.069999999999993</v>
      </c>
      <c r="F11" t="s">
        <v>132</v>
      </c>
      <c r="G11" s="33">
        <v>8226978</v>
      </c>
      <c r="K11" s="83" t="s">
        <v>73</v>
      </c>
      <c r="L11" s="83"/>
      <c r="R11" s="57" t="s">
        <v>189</v>
      </c>
      <c r="S11" s="57"/>
    </row>
    <row r="12" spans="2:19">
      <c r="B12" s="47" t="s">
        <v>133</v>
      </c>
      <c r="C12" s="33">
        <v>65</v>
      </c>
      <c r="D12" s="34">
        <f>C12/C11-1</f>
        <v>-4.5100631702658878E-2</v>
      </c>
      <c r="F12" t="s">
        <v>133</v>
      </c>
      <c r="G12" s="33">
        <v>8153770</v>
      </c>
      <c r="H12" s="34">
        <f>G12/G11-1</f>
        <v>-8.8985287185646689E-3</v>
      </c>
      <c r="R12" s="54" t="s">
        <v>190</v>
      </c>
      <c r="S12" s="54">
        <v>0.13967180245354427</v>
      </c>
    </row>
    <row r="13" spans="2:19">
      <c r="B13" s="47" t="s">
        <v>134</v>
      </c>
      <c r="C13" s="33">
        <v>65</v>
      </c>
      <c r="D13" s="34">
        <f t="shared" ref="D13:D76" si="0">C13/C12-1</f>
        <v>0</v>
      </c>
      <c r="F13" t="s">
        <v>134</v>
      </c>
      <c r="G13" s="33">
        <v>8357035</v>
      </c>
      <c r="H13" s="34">
        <f t="shared" ref="H13:H76" si="1">G13/G12-1</f>
        <v>2.4928959242166426E-2</v>
      </c>
      <c r="L13" t="s">
        <v>52</v>
      </c>
      <c r="R13" s="54" t="s">
        <v>191</v>
      </c>
      <c r="S13" s="54">
        <v>1.9508212400621894E-2</v>
      </c>
    </row>
    <row r="14" spans="2:19">
      <c r="B14" s="47" t="s">
        <v>135</v>
      </c>
      <c r="C14" s="33">
        <v>65</v>
      </c>
      <c r="D14" s="34">
        <f t="shared" si="0"/>
        <v>0</v>
      </c>
      <c r="F14" t="s">
        <v>135</v>
      </c>
      <c r="G14" s="33">
        <v>8357624</v>
      </c>
      <c r="H14" s="34">
        <f t="shared" si="1"/>
        <v>7.0479542086498981E-5</v>
      </c>
      <c r="K14" s="51" t="s">
        <v>74</v>
      </c>
      <c r="L14" s="33">
        <f>R29</f>
        <v>-0.19059290336194648</v>
      </c>
      <c r="R14" s="54" t="s">
        <v>192</v>
      </c>
      <c r="S14" s="54">
        <v>1.0258289876099459E-2</v>
      </c>
    </row>
    <row r="15" spans="2:19">
      <c r="B15" s="47" t="s">
        <v>136</v>
      </c>
      <c r="C15" s="33">
        <v>65</v>
      </c>
      <c r="D15" s="34">
        <f t="shared" si="0"/>
        <v>0</v>
      </c>
      <c r="F15" t="s">
        <v>136</v>
      </c>
      <c r="G15" s="33">
        <v>8576201</v>
      </c>
      <c r="H15" s="34">
        <f t="shared" si="1"/>
        <v>2.6153007122598382E-2</v>
      </c>
      <c r="K15" t="s">
        <v>75</v>
      </c>
      <c r="L15" s="34">
        <v>0.75</v>
      </c>
      <c r="R15" s="54" t="s">
        <v>193</v>
      </c>
      <c r="S15" s="54">
        <v>2.2355726219196091E-2</v>
      </c>
    </row>
    <row r="16" spans="2:19" ht="15" thickBot="1">
      <c r="B16" s="47" t="s">
        <v>137</v>
      </c>
      <c r="C16" s="33">
        <v>65</v>
      </c>
      <c r="D16" s="34">
        <f t="shared" si="0"/>
        <v>0</v>
      </c>
      <c r="F16" t="s">
        <v>137</v>
      </c>
      <c r="G16" s="33">
        <v>8504145</v>
      </c>
      <c r="H16" s="34">
        <f t="shared" si="1"/>
        <v>-8.4018553203218937E-3</v>
      </c>
      <c r="L16" s="33"/>
      <c r="R16" s="55" t="s">
        <v>194</v>
      </c>
      <c r="S16" s="55">
        <v>108</v>
      </c>
    </row>
    <row r="17" spans="2:26">
      <c r="B17" s="47" t="s">
        <v>138</v>
      </c>
      <c r="C17" s="33">
        <v>65</v>
      </c>
      <c r="D17" s="34">
        <f t="shared" si="0"/>
        <v>0</v>
      </c>
      <c r="F17" t="s">
        <v>138</v>
      </c>
      <c r="G17" s="33">
        <v>8492936</v>
      </c>
      <c r="H17" s="34">
        <f t="shared" si="1"/>
        <v>-1.3180631327429637E-3</v>
      </c>
      <c r="K17" t="s">
        <v>76</v>
      </c>
      <c r="L17" s="33">
        <v>1</v>
      </c>
    </row>
    <row r="18" spans="2:26" ht="15" thickBot="1">
      <c r="B18" s="47" t="s">
        <v>139</v>
      </c>
      <c r="C18" s="33">
        <v>65</v>
      </c>
      <c r="D18" s="34">
        <f t="shared" si="0"/>
        <v>0</v>
      </c>
      <c r="F18" t="s">
        <v>139</v>
      </c>
      <c r="G18" s="33">
        <v>8526766</v>
      </c>
      <c r="H18" s="34">
        <f t="shared" si="1"/>
        <v>3.9833103652258117E-3</v>
      </c>
      <c r="K18" t="s">
        <v>77</v>
      </c>
      <c r="L18" s="34">
        <v>0.25</v>
      </c>
      <c r="R18" t="s">
        <v>195</v>
      </c>
    </row>
    <row r="19" spans="2:26">
      <c r="B19" s="47" t="s">
        <v>140</v>
      </c>
      <c r="C19" s="33">
        <v>65</v>
      </c>
      <c r="D19" s="34">
        <f t="shared" si="0"/>
        <v>0</v>
      </c>
      <c r="F19" t="s">
        <v>140</v>
      </c>
      <c r="G19" s="33">
        <v>8571237</v>
      </c>
      <c r="H19" s="34">
        <f t="shared" si="1"/>
        <v>5.2154591787789695E-3</v>
      </c>
      <c r="R19" s="56"/>
      <c r="S19" s="56" t="s">
        <v>200</v>
      </c>
      <c r="T19" s="56" t="s">
        <v>201</v>
      </c>
      <c r="U19" s="56" t="s">
        <v>202</v>
      </c>
      <c r="V19" s="56" t="s">
        <v>203</v>
      </c>
      <c r="W19" s="56" t="s">
        <v>204</v>
      </c>
    </row>
    <row r="20" spans="2:26">
      <c r="B20" s="47" t="s">
        <v>141</v>
      </c>
      <c r="C20" s="33">
        <v>65</v>
      </c>
      <c r="D20" s="34">
        <f t="shared" si="0"/>
        <v>0</v>
      </c>
      <c r="F20" t="s">
        <v>141</v>
      </c>
      <c r="G20" s="33">
        <v>8570667</v>
      </c>
      <c r="H20" s="34">
        <f t="shared" si="1"/>
        <v>-6.6501486308268021E-5</v>
      </c>
      <c r="K20" s="52" t="s">
        <v>78</v>
      </c>
      <c r="L20" s="53">
        <f>(L14*L15)+(L17*L18)</f>
        <v>0.10705532247854013</v>
      </c>
      <c r="R20" s="54" t="s">
        <v>196</v>
      </c>
      <c r="S20" s="54">
        <v>1</v>
      </c>
      <c r="T20" s="54">
        <v>1.0540396423573267E-3</v>
      </c>
      <c r="U20" s="54">
        <v>1.0540396423573267E-3</v>
      </c>
      <c r="V20" s="54">
        <v>2.1090135997251589</v>
      </c>
      <c r="W20" s="54">
        <v>0.14938730911906054</v>
      </c>
    </row>
    <row r="21" spans="2:26">
      <c r="B21" s="47" t="s">
        <v>142</v>
      </c>
      <c r="C21" s="33">
        <v>65</v>
      </c>
      <c r="D21" s="34">
        <f t="shared" si="0"/>
        <v>0</v>
      </c>
      <c r="F21" t="s">
        <v>142</v>
      </c>
      <c r="G21" s="33">
        <v>8523192</v>
      </c>
      <c r="H21" s="34">
        <f t="shared" si="1"/>
        <v>-5.5392421616660137E-3</v>
      </c>
      <c r="R21" s="54" t="s">
        <v>197</v>
      </c>
      <c r="S21" s="54">
        <v>106</v>
      </c>
      <c r="T21" s="54">
        <v>5.2976520447491064E-2</v>
      </c>
      <c r="U21" s="54">
        <v>4.9977849478765159E-4</v>
      </c>
      <c r="V21" s="54"/>
      <c r="W21" s="54"/>
    </row>
    <row r="22" spans="2:26" ht="15" thickBot="1">
      <c r="B22" s="47" t="s">
        <v>143</v>
      </c>
      <c r="C22" s="33">
        <v>65</v>
      </c>
      <c r="D22" s="34">
        <f t="shared" si="0"/>
        <v>0</v>
      </c>
      <c r="F22" t="s">
        <v>143</v>
      </c>
      <c r="G22" s="33">
        <v>8456278</v>
      </c>
      <c r="H22" s="34">
        <f t="shared" si="1"/>
        <v>-7.8508145774494054E-3</v>
      </c>
      <c r="R22" s="55" t="s">
        <v>198</v>
      </c>
      <c r="S22" s="55">
        <v>107</v>
      </c>
      <c r="T22" s="55">
        <v>5.4030560089848391E-2</v>
      </c>
      <c r="U22" s="55"/>
      <c r="V22" s="55"/>
      <c r="W22" s="55"/>
    </row>
    <row r="23" spans="2:26" ht="15" thickBot="1">
      <c r="B23" s="47" t="s">
        <v>144</v>
      </c>
      <c r="C23" s="33">
        <v>65</v>
      </c>
      <c r="D23" s="34">
        <f t="shared" si="0"/>
        <v>0</v>
      </c>
      <c r="F23" t="s">
        <v>144</v>
      </c>
      <c r="G23" s="33">
        <v>8321628</v>
      </c>
      <c r="H23" s="34">
        <f t="shared" si="1"/>
        <v>-1.5923081052917176E-2</v>
      </c>
    </row>
    <row r="24" spans="2:26">
      <c r="B24" s="47" t="s">
        <v>145</v>
      </c>
      <c r="C24" s="33">
        <v>65</v>
      </c>
      <c r="D24" s="34">
        <f t="shared" si="0"/>
        <v>0</v>
      </c>
      <c r="F24" t="s">
        <v>145</v>
      </c>
      <c r="G24" s="33">
        <v>8393871</v>
      </c>
      <c r="H24" s="34">
        <f t="shared" si="1"/>
        <v>8.6813541773316238E-3</v>
      </c>
      <c r="R24" s="56"/>
      <c r="S24" s="56" t="s">
        <v>205</v>
      </c>
      <c r="T24" s="56" t="s">
        <v>193</v>
      </c>
      <c r="U24" s="56" t="s">
        <v>206</v>
      </c>
      <c r="V24" s="56" t="s">
        <v>207</v>
      </c>
      <c r="W24" s="56" t="s">
        <v>208</v>
      </c>
      <c r="X24" s="56" t="s">
        <v>209</v>
      </c>
      <c r="Y24" s="56" t="s">
        <v>210</v>
      </c>
      <c r="Z24" s="56" t="s">
        <v>211</v>
      </c>
    </row>
    <row r="25" spans="2:26">
      <c r="B25" s="47" t="s">
        <v>146</v>
      </c>
      <c r="C25" s="33">
        <v>65</v>
      </c>
      <c r="D25" s="34">
        <f t="shared" si="0"/>
        <v>0</v>
      </c>
      <c r="F25" t="s">
        <v>146</v>
      </c>
      <c r="G25" s="33">
        <v>8421188</v>
      </c>
      <c r="H25" s="34">
        <f t="shared" si="1"/>
        <v>3.2543983580399782E-3</v>
      </c>
      <c r="R25" s="54" t="s">
        <v>199</v>
      </c>
      <c r="S25" s="54">
        <v>-4.9737563166837844E-3</v>
      </c>
      <c r="T25" s="54">
        <v>2.1559890449249046E-3</v>
      </c>
      <c r="U25" s="54">
        <v>-2.3069487891841427</v>
      </c>
      <c r="V25" s="54">
        <v>2.3001605187919185E-2</v>
      </c>
      <c r="W25" s="54">
        <v>-9.2482142935483153E-3</v>
      </c>
      <c r="X25" s="54">
        <v>-6.9929833981925444E-4</v>
      </c>
      <c r="Y25" s="54">
        <v>-9.2482142935483153E-3</v>
      </c>
      <c r="Z25" s="54">
        <v>-6.9929833981925444E-4</v>
      </c>
    </row>
    <row r="26" spans="2:26" ht="15" thickBot="1">
      <c r="B26" s="47" t="s">
        <v>147</v>
      </c>
      <c r="C26" s="33">
        <v>64.97</v>
      </c>
      <c r="D26" s="34">
        <f t="shared" si="0"/>
        <v>-4.6153846153851319E-4</v>
      </c>
      <c r="F26" t="s">
        <v>147</v>
      </c>
      <c r="G26" s="33">
        <v>8395219</v>
      </c>
      <c r="H26" s="34">
        <f t="shared" si="1"/>
        <v>-3.083769178410467E-3</v>
      </c>
      <c r="R26" s="55" t="s">
        <v>212</v>
      </c>
      <c r="S26" s="55">
        <v>-0.19059290336194648</v>
      </c>
      <c r="T26" s="55">
        <v>0.13124024598810161</v>
      </c>
      <c r="U26" s="55">
        <v>-1.452244331965256</v>
      </c>
      <c r="V26" s="55">
        <v>0.14938730911905473</v>
      </c>
      <c r="W26" s="55">
        <v>-0.45078945569138729</v>
      </c>
      <c r="X26" s="55">
        <v>6.9603648967494297E-2</v>
      </c>
      <c r="Y26" s="55">
        <v>-0.45078945569138729</v>
      </c>
      <c r="Z26" s="55">
        <v>6.9603648967494297E-2</v>
      </c>
    </row>
    <row r="27" spans="2:26">
      <c r="B27" s="47" t="s">
        <v>148</v>
      </c>
      <c r="C27" s="33">
        <v>64.97</v>
      </c>
      <c r="D27" s="34">
        <f t="shared" si="0"/>
        <v>0</v>
      </c>
      <c r="F27" t="s">
        <v>148</v>
      </c>
      <c r="G27" s="33">
        <v>8250082</v>
      </c>
      <c r="H27" s="34">
        <f t="shared" si="1"/>
        <v>-1.7288054069822367E-2</v>
      </c>
    </row>
    <row r="28" spans="2:26">
      <c r="B28" s="47" t="s">
        <v>149</v>
      </c>
      <c r="C28" s="33">
        <v>64.97</v>
      </c>
      <c r="D28" s="34">
        <f t="shared" si="0"/>
        <v>0</v>
      </c>
      <c r="F28" t="s">
        <v>149</v>
      </c>
      <c r="G28" s="33">
        <v>8120717</v>
      </c>
      <c r="H28" s="34">
        <f t="shared" si="1"/>
        <v>-1.5680450206434271E-2</v>
      </c>
    </row>
    <row r="29" spans="2:26">
      <c r="B29" s="47" t="s">
        <v>150</v>
      </c>
      <c r="C29" s="33">
        <v>64.97</v>
      </c>
      <c r="D29" s="34">
        <f t="shared" si="0"/>
        <v>0</v>
      </c>
      <c r="F29" t="s">
        <v>150</v>
      </c>
      <c r="G29" s="33">
        <v>8042646</v>
      </c>
      <c r="H29" s="34">
        <f t="shared" si="1"/>
        <v>-9.613806268584435E-3</v>
      </c>
      <c r="R29">
        <f>S26</f>
        <v>-0.19059290336194648</v>
      </c>
    </row>
    <row r="30" spans="2:26">
      <c r="B30" s="47" t="s">
        <v>151</v>
      </c>
      <c r="C30" s="33">
        <v>64.97</v>
      </c>
      <c r="D30" s="34">
        <f t="shared" si="0"/>
        <v>0</v>
      </c>
      <c r="F30" t="s">
        <v>151</v>
      </c>
      <c r="G30" s="33">
        <v>8262623</v>
      </c>
      <c r="H30" s="34">
        <f t="shared" si="1"/>
        <v>2.7351321940565221E-2</v>
      </c>
    </row>
    <row r="31" spans="2:26">
      <c r="B31" s="47" t="s">
        <v>152</v>
      </c>
      <c r="C31" s="33">
        <v>64.97</v>
      </c>
      <c r="D31" s="34">
        <f t="shared" si="0"/>
        <v>0</v>
      </c>
      <c r="F31" t="s">
        <v>152</v>
      </c>
      <c r="G31" s="33">
        <v>8190470</v>
      </c>
      <c r="H31" s="34">
        <f t="shared" si="1"/>
        <v>-8.7324569933785456E-3</v>
      </c>
    </row>
    <row r="32" spans="2:26">
      <c r="B32" s="47" t="s">
        <v>153</v>
      </c>
      <c r="C32" s="33">
        <v>64.97</v>
      </c>
      <c r="D32" s="34">
        <f t="shared" si="0"/>
        <v>0</v>
      </c>
      <c r="F32" t="s">
        <v>153</v>
      </c>
      <c r="G32" s="33">
        <v>8071076</v>
      </c>
      <c r="H32" s="34">
        <f t="shared" si="1"/>
        <v>-1.4577185436244755E-2</v>
      </c>
    </row>
    <row r="33" spans="2:8">
      <c r="B33" s="47" t="s">
        <v>154</v>
      </c>
      <c r="C33" s="33">
        <v>64.97</v>
      </c>
      <c r="D33" s="34">
        <f t="shared" si="0"/>
        <v>0</v>
      </c>
      <c r="F33" t="s">
        <v>154</v>
      </c>
      <c r="G33" s="33">
        <v>7980965</v>
      </c>
      <c r="H33" s="34">
        <f t="shared" si="1"/>
        <v>-1.116468237940027E-2</v>
      </c>
    </row>
    <row r="34" spans="2:8">
      <c r="B34" s="47" t="s">
        <v>155</v>
      </c>
      <c r="C34" s="33">
        <v>58.94</v>
      </c>
      <c r="D34" s="34">
        <f t="shared" si="0"/>
        <v>-9.2812067107896024E-2</v>
      </c>
      <c r="F34" t="s">
        <v>155</v>
      </c>
      <c r="G34" s="33">
        <v>8130685</v>
      </c>
      <c r="H34" s="34">
        <f t="shared" si="1"/>
        <v>1.8759636209405794E-2</v>
      </c>
    </row>
    <row r="35" spans="2:8">
      <c r="B35" s="47" t="s">
        <v>156</v>
      </c>
      <c r="C35" s="33">
        <v>58.94</v>
      </c>
      <c r="D35" s="34">
        <f t="shared" si="0"/>
        <v>0</v>
      </c>
      <c r="F35" t="s">
        <v>156</v>
      </c>
      <c r="G35" s="33">
        <v>8059766</v>
      </c>
      <c r="H35" s="34">
        <f t="shared" si="1"/>
        <v>-8.7223893189811719E-3</v>
      </c>
    </row>
    <row r="36" spans="2:8">
      <c r="B36" s="47" t="s">
        <v>157</v>
      </c>
      <c r="C36" s="33">
        <v>58.94</v>
      </c>
      <c r="D36" s="34">
        <f t="shared" si="0"/>
        <v>0</v>
      </c>
      <c r="F36" t="s">
        <v>157</v>
      </c>
      <c r="G36" s="33">
        <v>7985779</v>
      </c>
      <c r="H36" s="34">
        <f t="shared" si="1"/>
        <v>-9.1797950461589561E-3</v>
      </c>
    </row>
    <row r="37" spans="2:8">
      <c r="B37" s="47" t="s">
        <v>158</v>
      </c>
      <c r="C37" s="33">
        <v>58.94</v>
      </c>
      <c r="D37" s="34">
        <f t="shared" si="0"/>
        <v>0</v>
      </c>
      <c r="F37" t="s">
        <v>158</v>
      </c>
      <c r="G37" s="33">
        <v>8059991</v>
      </c>
      <c r="H37" s="34">
        <f t="shared" si="1"/>
        <v>9.2930195037954633E-3</v>
      </c>
    </row>
    <row r="38" spans="2:8">
      <c r="B38" s="47" t="s">
        <v>159</v>
      </c>
      <c r="C38" s="33">
        <v>58.94</v>
      </c>
      <c r="D38" s="34">
        <f t="shared" si="0"/>
        <v>0</v>
      </c>
      <c r="F38" t="s">
        <v>159</v>
      </c>
      <c r="G38" s="33">
        <v>8146309</v>
      </c>
      <c r="H38" s="34">
        <f t="shared" si="1"/>
        <v>1.070944123883022E-2</v>
      </c>
    </row>
    <row r="39" spans="2:8">
      <c r="B39" s="47" t="s">
        <v>160</v>
      </c>
      <c r="C39" s="33">
        <v>58.94</v>
      </c>
      <c r="D39" s="34">
        <f t="shared" si="0"/>
        <v>0</v>
      </c>
      <c r="F39" t="s">
        <v>160</v>
      </c>
      <c r="G39" s="33">
        <v>8175773</v>
      </c>
      <c r="H39" s="34">
        <f t="shared" si="1"/>
        <v>3.6168527366198244E-3</v>
      </c>
    </row>
    <row r="40" spans="2:8">
      <c r="B40" s="47" t="s">
        <v>161</v>
      </c>
      <c r="C40" s="33">
        <v>56.14</v>
      </c>
      <c r="D40" s="34">
        <f t="shared" si="0"/>
        <v>-4.7505938242280221E-2</v>
      </c>
      <c r="F40" t="s">
        <v>161</v>
      </c>
      <c r="G40" s="33">
        <v>8250047</v>
      </c>
      <c r="H40" s="34">
        <f t="shared" si="1"/>
        <v>9.0846455741859788E-3</v>
      </c>
    </row>
    <row r="41" spans="2:8">
      <c r="B41" s="47" t="s">
        <v>162</v>
      </c>
      <c r="C41" s="33">
        <v>56.14</v>
      </c>
      <c r="D41" s="34">
        <f t="shared" si="0"/>
        <v>0</v>
      </c>
      <c r="F41" t="s">
        <v>162</v>
      </c>
      <c r="G41" s="33">
        <v>8343289</v>
      </c>
      <c r="H41" s="34">
        <f t="shared" si="1"/>
        <v>1.1301996218930688E-2</v>
      </c>
    </row>
    <row r="42" spans="2:8">
      <c r="B42" s="47" t="s">
        <v>163</v>
      </c>
      <c r="C42" s="33">
        <v>56.14</v>
      </c>
      <c r="D42" s="34">
        <f t="shared" si="0"/>
        <v>0</v>
      </c>
      <c r="F42" t="s">
        <v>163</v>
      </c>
      <c r="G42" s="33">
        <v>8405890</v>
      </c>
      <c r="H42" s="34">
        <f t="shared" si="1"/>
        <v>7.5031561294351956E-3</v>
      </c>
    </row>
    <row r="43" spans="2:8">
      <c r="B43" s="47" t="s">
        <v>164</v>
      </c>
      <c r="C43" s="33">
        <v>56.14</v>
      </c>
      <c r="D43" s="34">
        <f t="shared" si="0"/>
        <v>0</v>
      </c>
      <c r="F43" t="s">
        <v>164</v>
      </c>
      <c r="G43" s="33">
        <v>8240817</v>
      </c>
      <c r="H43" s="34">
        <f t="shared" si="1"/>
        <v>-1.9637777796283284E-2</v>
      </c>
    </row>
    <row r="44" spans="2:8">
      <c r="B44" s="47" t="s">
        <v>165</v>
      </c>
      <c r="C44" s="33">
        <v>56.14</v>
      </c>
      <c r="D44" s="34">
        <f t="shared" si="0"/>
        <v>0</v>
      </c>
      <c r="F44" t="s">
        <v>165</v>
      </c>
      <c r="G44" s="33">
        <v>8111860</v>
      </c>
      <c r="H44" s="34">
        <f t="shared" si="1"/>
        <v>-1.5648569795931655E-2</v>
      </c>
    </row>
    <row r="45" spans="2:8">
      <c r="B45" s="47" t="s">
        <v>166</v>
      </c>
      <c r="C45" s="33">
        <v>53.47</v>
      </c>
      <c r="D45" s="34">
        <f t="shared" si="0"/>
        <v>-4.7559672247951545E-2</v>
      </c>
      <c r="F45" t="s">
        <v>166</v>
      </c>
      <c r="G45" s="33">
        <v>8218899</v>
      </c>
      <c r="H45" s="34">
        <f t="shared" si="1"/>
        <v>1.319537072878485E-2</v>
      </c>
    </row>
    <row r="46" spans="2:8">
      <c r="B46" s="47" t="s">
        <v>167</v>
      </c>
      <c r="C46" s="33">
        <v>53.47</v>
      </c>
      <c r="D46" s="34">
        <f t="shared" si="0"/>
        <v>0</v>
      </c>
      <c r="F46" t="s">
        <v>167</v>
      </c>
      <c r="G46" s="33">
        <v>8145101</v>
      </c>
      <c r="H46" s="34">
        <f t="shared" si="1"/>
        <v>-8.9790615507016058E-3</v>
      </c>
    </row>
    <row r="47" spans="2:8">
      <c r="B47" s="47" t="s">
        <v>168</v>
      </c>
      <c r="C47" s="33">
        <v>53.47</v>
      </c>
      <c r="D47" s="34">
        <f t="shared" si="0"/>
        <v>0</v>
      </c>
      <c r="F47" t="s">
        <v>168</v>
      </c>
      <c r="G47" s="33">
        <v>8172108</v>
      </c>
      <c r="H47" s="34">
        <f t="shared" si="1"/>
        <v>3.3157354340971334E-3</v>
      </c>
    </row>
    <row r="48" spans="2:8">
      <c r="B48" s="47" t="s">
        <v>169</v>
      </c>
      <c r="C48" s="33">
        <v>53.47</v>
      </c>
      <c r="D48" s="34">
        <f t="shared" si="0"/>
        <v>0</v>
      </c>
      <c r="F48" t="s">
        <v>169</v>
      </c>
      <c r="G48" s="33">
        <v>8233059</v>
      </c>
      <c r="H48" s="34">
        <f t="shared" si="1"/>
        <v>7.4584183175259167E-3</v>
      </c>
    </row>
    <row r="49" spans="2:8">
      <c r="B49" s="47" t="s">
        <v>170</v>
      </c>
      <c r="C49" s="33">
        <v>53.47</v>
      </c>
      <c r="D49" s="34">
        <f t="shared" si="0"/>
        <v>0</v>
      </c>
      <c r="F49" t="s">
        <v>170</v>
      </c>
      <c r="G49" s="33">
        <v>7945447</v>
      </c>
      <c r="H49" s="34">
        <f t="shared" si="1"/>
        <v>-3.4933795567358428E-2</v>
      </c>
    </row>
    <row r="50" spans="2:8">
      <c r="B50" s="47" t="s">
        <v>171</v>
      </c>
      <c r="C50" s="33">
        <v>53.47</v>
      </c>
      <c r="D50" s="34">
        <f t="shared" si="0"/>
        <v>0</v>
      </c>
      <c r="F50" t="s">
        <v>171</v>
      </c>
      <c r="G50" s="33">
        <v>8050199</v>
      </c>
      <c r="H50" s="34">
        <f t="shared" si="1"/>
        <v>1.3183902680365289E-2</v>
      </c>
    </row>
    <row r="51" spans="2:8">
      <c r="B51" s="47" t="s">
        <v>172</v>
      </c>
      <c r="C51" s="33">
        <v>53.47</v>
      </c>
      <c r="D51" s="34">
        <f t="shared" si="0"/>
        <v>0</v>
      </c>
      <c r="F51" t="s">
        <v>172</v>
      </c>
      <c r="G51" s="33">
        <v>7921253</v>
      </c>
      <c r="H51" s="34">
        <f t="shared" si="1"/>
        <v>-1.6017740679454051E-2</v>
      </c>
    </row>
    <row r="52" spans="2:8">
      <c r="B52" s="47" t="s">
        <v>173</v>
      </c>
      <c r="C52" s="33">
        <v>53.47</v>
      </c>
      <c r="D52" s="34">
        <f t="shared" si="0"/>
        <v>0</v>
      </c>
      <c r="F52" t="s">
        <v>173</v>
      </c>
      <c r="G52" s="33">
        <v>7855320</v>
      </c>
      <c r="H52" s="34">
        <f t="shared" si="1"/>
        <v>-8.323556891820072E-3</v>
      </c>
    </row>
    <row r="53" spans="2:8">
      <c r="B53" s="47" t="s">
        <v>174</v>
      </c>
      <c r="C53" s="33">
        <v>53.47</v>
      </c>
      <c r="D53" s="34">
        <f t="shared" si="0"/>
        <v>0</v>
      </c>
      <c r="F53" t="s">
        <v>174</v>
      </c>
      <c r="G53" s="33">
        <v>7515726</v>
      </c>
      <c r="H53" s="34">
        <f t="shared" si="1"/>
        <v>-4.3231084156978961E-2</v>
      </c>
    </row>
    <row r="54" spans="2:8">
      <c r="B54" s="47" t="s">
        <v>175</v>
      </c>
      <c r="C54" s="33">
        <v>53.47</v>
      </c>
      <c r="D54" s="34">
        <f t="shared" si="0"/>
        <v>0</v>
      </c>
      <c r="F54" t="s">
        <v>175</v>
      </c>
      <c r="G54" s="33">
        <v>7536469</v>
      </c>
      <c r="H54" s="34">
        <f t="shared" si="1"/>
        <v>2.7599462779777095E-3</v>
      </c>
    </row>
    <row r="55" spans="2:8">
      <c r="B55" s="47" t="s">
        <v>176</v>
      </c>
      <c r="C55" s="33">
        <v>53.47</v>
      </c>
      <c r="D55" s="34">
        <f t="shared" si="0"/>
        <v>0</v>
      </c>
      <c r="F55" t="s">
        <v>176</v>
      </c>
      <c r="G55" s="33">
        <v>7741492</v>
      </c>
      <c r="H55" s="34">
        <f t="shared" si="1"/>
        <v>2.7204119064246024E-2</v>
      </c>
    </row>
    <row r="56" spans="2:8">
      <c r="B56" s="47" t="s">
        <v>177</v>
      </c>
      <c r="C56" s="33">
        <v>53.47</v>
      </c>
      <c r="D56" s="34">
        <f t="shared" si="0"/>
        <v>0</v>
      </c>
      <c r="F56" t="s">
        <v>177</v>
      </c>
      <c r="G56" s="33">
        <v>7690551</v>
      </c>
      <c r="H56" s="34">
        <f t="shared" si="1"/>
        <v>-6.5802561056705899E-3</v>
      </c>
    </row>
    <row r="57" spans="2:8">
      <c r="B57" s="47" t="s">
        <v>178</v>
      </c>
      <c r="C57" s="33">
        <v>53.47</v>
      </c>
      <c r="D57" s="34">
        <f t="shared" si="0"/>
        <v>0</v>
      </c>
      <c r="F57" t="s">
        <v>178</v>
      </c>
      <c r="G57" s="33">
        <v>7382891</v>
      </c>
      <c r="H57" s="34">
        <f t="shared" si="1"/>
        <v>-4.0004935927217655E-2</v>
      </c>
    </row>
    <row r="58" spans="2:8">
      <c r="B58" s="47" t="s">
        <v>179</v>
      </c>
      <c r="C58" s="33">
        <v>53.47</v>
      </c>
      <c r="D58" s="34">
        <f t="shared" si="0"/>
        <v>0</v>
      </c>
      <c r="F58" t="s">
        <v>179</v>
      </c>
      <c r="G58" s="33">
        <v>7433258</v>
      </c>
      <c r="H58" s="34">
        <f t="shared" si="1"/>
        <v>6.8221242870847298E-3</v>
      </c>
    </row>
    <row r="59" spans="2:8">
      <c r="B59" s="47" t="s">
        <v>180</v>
      </c>
      <c r="C59" s="33">
        <v>53.47</v>
      </c>
      <c r="D59" s="34">
        <f t="shared" si="0"/>
        <v>0</v>
      </c>
      <c r="F59" t="s">
        <v>180</v>
      </c>
      <c r="G59" s="33">
        <v>7319810</v>
      </c>
      <c r="H59" s="34">
        <f t="shared" si="1"/>
        <v>-1.5262217455656701E-2</v>
      </c>
    </row>
    <row r="60" spans="2:8">
      <c r="B60" s="47" t="s">
        <v>181</v>
      </c>
      <c r="C60" s="33">
        <v>53.47</v>
      </c>
      <c r="D60" s="34">
        <f t="shared" si="0"/>
        <v>0</v>
      </c>
      <c r="F60" t="s">
        <v>181</v>
      </c>
      <c r="G60" s="33">
        <v>7531106</v>
      </c>
      <c r="H60" s="34">
        <f t="shared" si="1"/>
        <v>2.8866323032974872E-2</v>
      </c>
    </row>
    <row r="61" spans="2:8">
      <c r="B61" s="47" t="s">
        <v>182</v>
      </c>
      <c r="C61" s="33">
        <v>53.47</v>
      </c>
      <c r="D61" s="34">
        <f t="shared" si="0"/>
        <v>0</v>
      </c>
      <c r="F61" t="s">
        <v>182</v>
      </c>
      <c r="G61" s="33">
        <v>7593921</v>
      </c>
      <c r="H61" s="34">
        <f t="shared" si="1"/>
        <v>8.340740390587964E-3</v>
      </c>
    </row>
    <row r="62" spans="2:8">
      <c r="B62" s="47" t="s">
        <v>183</v>
      </c>
      <c r="C62" s="33">
        <v>48.51</v>
      </c>
      <c r="D62" s="34">
        <f t="shared" si="0"/>
        <v>-9.27622966149243E-2</v>
      </c>
      <c r="F62" t="s">
        <v>183</v>
      </c>
      <c r="G62" s="33">
        <v>7786019</v>
      </c>
      <c r="H62" s="34">
        <f t="shared" si="1"/>
        <v>2.5296286332185947E-2</v>
      </c>
    </row>
    <row r="63" spans="2:8">
      <c r="B63" s="47" t="s">
        <v>184</v>
      </c>
      <c r="C63" s="33">
        <v>48.51</v>
      </c>
      <c r="D63" s="34">
        <f t="shared" si="0"/>
        <v>0</v>
      </c>
      <c r="F63" t="s">
        <v>184</v>
      </c>
      <c r="G63" s="33">
        <v>7750057</v>
      </c>
      <c r="H63" s="34">
        <f t="shared" si="1"/>
        <v>-4.6187917085740438E-3</v>
      </c>
    </row>
    <row r="64" spans="2:8">
      <c r="B64" s="47" t="s">
        <v>185</v>
      </c>
      <c r="C64" s="33">
        <v>48.51</v>
      </c>
      <c r="D64" s="34">
        <f t="shared" si="0"/>
        <v>0</v>
      </c>
      <c r="F64" t="s">
        <v>185</v>
      </c>
      <c r="G64" s="33">
        <v>7619046</v>
      </c>
      <c r="H64" s="34">
        <f t="shared" si="1"/>
        <v>-1.6904520831266145E-2</v>
      </c>
    </row>
    <row r="65" spans="2:8">
      <c r="B65" s="47" t="s">
        <v>186</v>
      </c>
      <c r="C65" s="33">
        <v>48.51</v>
      </c>
      <c r="D65" s="34">
        <f t="shared" si="0"/>
        <v>0</v>
      </c>
      <c r="F65" t="s">
        <v>186</v>
      </c>
      <c r="G65" s="33">
        <v>7661933</v>
      </c>
      <c r="H65" s="34">
        <f t="shared" si="1"/>
        <v>5.6289199461454498E-3</v>
      </c>
    </row>
    <row r="66" spans="2:8">
      <c r="B66" s="47" t="s">
        <v>187</v>
      </c>
      <c r="C66" s="33">
        <v>48.51</v>
      </c>
      <c r="D66" s="34">
        <f t="shared" si="0"/>
        <v>0</v>
      </c>
      <c r="F66" t="s">
        <v>187</v>
      </c>
      <c r="G66" s="33">
        <v>7737891</v>
      </c>
      <c r="H66" s="34">
        <f t="shared" si="1"/>
        <v>9.9136862721196373E-3</v>
      </c>
    </row>
    <row r="67" spans="2:8">
      <c r="B67" s="47" t="s">
        <v>79</v>
      </c>
      <c r="C67" s="33">
        <v>48.51</v>
      </c>
      <c r="D67" s="34">
        <f t="shared" si="0"/>
        <v>0</v>
      </c>
      <c r="F67" t="s">
        <v>79</v>
      </c>
      <c r="G67" s="33">
        <v>7922311</v>
      </c>
      <c r="H67" s="34">
        <f t="shared" si="1"/>
        <v>2.3833367515774029E-2</v>
      </c>
    </row>
    <row r="68" spans="2:8">
      <c r="B68" s="47" t="s">
        <v>80</v>
      </c>
      <c r="C68" s="33">
        <v>48.51</v>
      </c>
      <c r="D68" s="34">
        <f t="shared" si="0"/>
        <v>0</v>
      </c>
      <c r="F68" t="s">
        <v>80</v>
      </c>
      <c r="G68" s="33">
        <v>7869907</v>
      </c>
      <c r="H68" s="34">
        <f t="shared" si="1"/>
        <v>-6.6147365333171226E-3</v>
      </c>
    </row>
    <row r="69" spans="2:8">
      <c r="B69" s="47" t="s">
        <v>81</v>
      </c>
      <c r="C69" s="33">
        <v>48.51</v>
      </c>
      <c r="D69" s="34">
        <f t="shared" si="0"/>
        <v>0</v>
      </c>
      <c r="F69" t="s">
        <v>81</v>
      </c>
      <c r="G69" s="33">
        <v>7804159</v>
      </c>
      <c r="H69" s="34">
        <f t="shared" si="1"/>
        <v>-8.3543553945427673E-3</v>
      </c>
    </row>
    <row r="70" spans="2:8">
      <c r="B70" s="47" t="s">
        <v>82</v>
      </c>
      <c r="C70" s="33">
        <v>48.51</v>
      </c>
      <c r="D70" s="34">
        <f t="shared" si="0"/>
        <v>0</v>
      </c>
      <c r="F70" t="s">
        <v>82</v>
      </c>
      <c r="G70" s="33">
        <v>8213312</v>
      </c>
      <c r="H70" s="34">
        <f t="shared" si="1"/>
        <v>5.2427558177633227E-2</v>
      </c>
    </row>
    <row r="71" spans="2:8">
      <c r="B71" s="47" t="s">
        <v>83</v>
      </c>
      <c r="C71" s="33">
        <v>46.2</v>
      </c>
      <c r="D71" s="34">
        <f t="shared" si="0"/>
        <v>-4.7619047619047561E-2</v>
      </c>
      <c r="F71" t="s">
        <v>83</v>
      </c>
      <c r="G71" s="33">
        <v>8170912</v>
      </c>
      <c r="H71" s="34">
        <f t="shared" si="1"/>
        <v>-5.162351071041793E-3</v>
      </c>
    </row>
    <row r="72" spans="2:8">
      <c r="B72" s="47" t="s">
        <v>84</v>
      </c>
      <c r="C72" s="33">
        <v>46.2</v>
      </c>
      <c r="D72" s="34">
        <f t="shared" si="0"/>
        <v>0</v>
      </c>
      <c r="F72" t="s">
        <v>84</v>
      </c>
      <c r="G72" s="33">
        <v>7980279</v>
      </c>
      <c r="H72" s="34">
        <f t="shared" si="1"/>
        <v>-2.3330688177770065E-2</v>
      </c>
    </row>
    <row r="73" spans="2:8">
      <c r="B73" s="47" t="s">
        <v>85</v>
      </c>
      <c r="C73" s="33">
        <v>46.2</v>
      </c>
      <c r="D73" s="34">
        <f t="shared" si="0"/>
        <v>0</v>
      </c>
      <c r="F73" t="s">
        <v>85</v>
      </c>
      <c r="G73" s="33">
        <v>7911711</v>
      </c>
      <c r="H73" s="34">
        <f t="shared" si="1"/>
        <v>-8.592180799693816E-3</v>
      </c>
    </row>
    <row r="74" spans="2:8">
      <c r="B74" s="47" t="s">
        <v>86</v>
      </c>
      <c r="C74" s="33">
        <v>46.2</v>
      </c>
      <c r="D74" s="34">
        <f t="shared" si="0"/>
        <v>0</v>
      </c>
      <c r="F74" t="s">
        <v>86</v>
      </c>
      <c r="G74" s="33">
        <v>7758031</v>
      </c>
      <c r="H74" s="34">
        <f t="shared" si="1"/>
        <v>-1.9424369772859551E-2</v>
      </c>
    </row>
    <row r="75" spans="2:8">
      <c r="B75" s="47" t="s">
        <v>87</v>
      </c>
      <c r="C75" s="33">
        <v>46.2</v>
      </c>
      <c r="D75" s="34">
        <f t="shared" si="0"/>
        <v>0</v>
      </c>
      <c r="F75" t="s">
        <v>87</v>
      </c>
      <c r="G75" s="33">
        <v>7948632</v>
      </c>
      <c r="H75" s="34">
        <f t="shared" si="1"/>
        <v>2.4568218404901865E-2</v>
      </c>
    </row>
    <row r="76" spans="2:8">
      <c r="B76" s="47" t="s">
        <v>88</v>
      </c>
      <c r="C76" s="33">
        <v>46.2</v>
      </c>
      <c r="D76" s="34">
        <f t="shared" si="0"/>
        <v>0</v>
      </c>
      <c r="F76" t="s">
        <v>88</v>
      </c>
      <c r="G76" s="33">
        <v>7972412</v>
      </c>
      <c r="H76" s="34">
        <f t="shared" si="1"/>
        <v>2.991709768423112E-3</v>
      </c>
    </row>
    <row r="77" spans="2:8">
      <c r="B77" s="47" t="s">
        <v>89</v>
      </c>
      <c r="C77" s="33">
        <v>46.2</v>
      </c>
      <c r="D77" s="34">
        <f t="shared" ref="D77:D119" si="2">C77/C76-1</f>
        <v>0</v>
      </c>
      <c r="F77" t="s">
        <v>89</v>
      </c>
      <c r="G77" s="33">
        <v>7940229</v>
      </c>
      <c r="H77" s="34">
        <f t="shared" ref="H77:H119" si="3">G77/G76-1</f>
        <v>-4.0367958906288859E-3</v>
      </c>
    </row>
    <row r="78" spans="2:8">
      <c r="B78" s="47" t="s">
        <v>90</v>
      </c>
      <c r="C78" s="33">
        <v>46.2</v>
      </c>
      <c r="D78" s="34">
        <f t="shared" si="2"/>
        <v>0</v>
      </c>
      <c r="F78" t="s">
        <v>90</v>
      </c>
      <c r="G78" s="33">
        <v>8122475</v>
      </c>
      <c r="H78" s="34">
        <f t="shared" si="3"/>
        <v>2.2952234752927181E-2</v>
      </c>
    </row>
    <row r="79" spans="2:8">
      <c r="B79" s="47" t="s">
        <v>91</v>
      </c>
      <c r="C79" s="33">
        <v>44</v>
      </c>
      <c r="D79" s="34">
        <f t="shared" si="2"/>
        <v>-4.7619047619047672E-2</v>
      </c>
      <c r="F79" t="s">
        <v>91</v>
      </c>
      <c r="G79" s="33">
        <v>8138136</v>
      </c>
      <c r="H79" s="34">
        <f t="shared" si="3"/>
        <v>1.9281068886023434E-3</v>
      </c>
    </row>
    <row r="80" spans="2:8">
      <c r="B80" s="47" t="s">
        <v>92</v>
      </c>
      <c r="C80" s="33">
        <v>44</v>
      </c>
      <c r="D80" s="34">
        <f t="shared" si="2"/>
        <v>0</v>
      </c>
      <c r="F80" t="s">
        <v>92</v>
      </c>
      <c r="G80" s="33">
        <v>8168845</v>
      </c>
      <c r="H80" s="34">
        <f t="shared" si="3"/>
        <v>3.7734685190811135E-3</v>
      </c>
    </row>
    <row r="81" spans="2:8">
      <c r="B81" s="47" t="s">
        <v>93</v>
      </c>
      <c r="C81" s="33">
        <v>45</v>
      </c>
      <c r="D81" s="34">
        <f t="shared" si="2"/>
        <v>2.2727272727272707E-2</v>
      </c>
      <c r="F81" t="s">
        <v>93</v>
      </c>
      <c r="G81" s="33">
        <v>8557185</v>
      </c>
      <c r="H81" s="34">
        <f t="shared" si="3"/>
        <v>4.7539156392366388E-2</v>
      </c>
    </row>
    <row r="82" spans="2:8">
      <c r="B82" s="47" t="s">
        <v>94</v>
      </c>
      <c r="C82" s="33">
        <v>45</v>
      </c>
      <c r="D82" s="34">
        <f t="shared" si="2"/>
        <v>0</v>
      </c>
      <c r="F82" t="s">
        <v>94</v>
      </c>
      <c r="G82" s="33">
        <v>8454431</v>
      </c>
      <c r="H82" s="34">
        <f t="shared" si="3"/>
        <v>-1.2007920829104402E-2</v>
      </c>
    </row>
    <row r="83" spans="2:8">
      <c r="B83" s="47" t="s">
        <v>95</v>
      </c>
      <c r="C83" s="33">
        <v>45</v>
      </c>
      <c r="D83" s="34">
        <f t="shared" si="2"/>
        <v>0</v>
      </c>
      <c r="F83" t="s">
        <v>95</v>
      </c>
      <c r="G83" s="33">
        <v>8289094</v>
      </c>
      <c r="H83" s="34">
        <f t="shared" si="3"/>
        <v>-1.9556253992728756E-2</v>
      </c>
    </row>
    <row r="84" spans="2:8">
      <c r="B84" s="47" t="s">
        <v>96</v>
      </c>
      <c r="C84" s="33">
        <v>46</v>
      </c>
      <c r="D84" s="34">
        <f t="shared" si="2"/>
        <v>2.2222222222222143E-2</v>
      </c>
      <c r="F84" t="s">
        <v>96</v>
      </c>
      <c r="G84" s="33">
        <v>8118393</v>
      </c>
      <c r="H84" s="34">
        <f t="shared" si="3"/>
        <v>-2.0593444832450958E-2</v>
      </c>
    </row>
    <row r="85" spans="2:8">
      <c r="B85" s="47" t="s">
        <v>97</v>
      </c>
      <c r="C85" s="33">
        <v>46.2</v>
      </c>
      <c r="D85" s="34">
        <f t="shared" si="2"/>
        <v>4.3478260869564966E-3</v>
      </c>
      <c r="F85" t="s">
        <v>97</v>
      </c>
      <c r="G85" s="33">
        <v>8236577</v>
      </c>
      <c r="H85" s="34">
        <f t="shared" si="3"/>
        <v>1.4557560837471062E-2</v>
      </c>
    </row>
    <row r="86" spans="2:8">
      <c r="B86" s="47" t="s">
        <v>98</v>
      </c>
      <c r="C86" s="33">
        <v>46.2</v>
      </c>
      <c r="D86" s="34">
        <f t="shared" si="2"/>
        <v>0</v>
      </c>
      <c r="F86" t="s">
        <v>98</v>
      </c>
      <c r="G86" s="33">
        <v>8108621</v>
      </c>
      <c r="H86" s="34">
        <f t="shared" si="3"/>
        <v>-1.5535094250924919E-2</v>
      </c>
    </row>
    <row r="87" spans="2:8">
      <c r="B87" s="47" t="s">
        <v>99</v>
      </c>
      <c r="C87" s="33">
        <v>46.2</v>
      </c>
      <c r="D87" s="34">
        <f t="shared" si="2"/>
        <v>0</v>
      </c>
      <c r="F87" t="s">
        <v>99</v>
      </c>
      <c r="G87" s="33">
        <v>8043684</v>
      </c>
      <c r="H87" s="34">
        <f t="shared" si="3"/>
        <v>-8.0083900826046772E-3</v>
      </c>
    </row>
    <row r="88" spans="2:8">
      <c r="B88" s="47" t="s">
        <v>100</v>
      </c>
      <c r="C88" s="33">
        <v>46.2</v>
      </c>
      <c r="D88" s="34">
        <f t="shared" si="2"/>
        <v>0</v>
      </c>
      <c r="F88" t="s">
        <v>100</v>
      </c>
      <c r="G88">
        <v>7970591</v>
      </c>
      <c r="H88" s="34">
        <f t="shared" si="3"/>
        <v>-9.0870054069751571E-3</v>
      </c>
    </row>
    <row r="89" spans="2:8">
      <c r="B89" s="47" t="s">
        <v>101</v>
      </c>
      <c r="C89" s="33">
        <v>44</v>
      </c>
      <c r="D89" s="34">
        <f t="shared" si="2"/>
        <v>-4.7619047619047672E-2</v>
      </c>
      <c r="F89" t="s">
        <v>101</v>
      </c>
      <c r="G89">
        <v>8098195</v>
      </c>
      <c r="H89" s="34">
        <f t="shared" si="3"/>
        <v>1.6009352380519815E-2</v>
      </c>
    </row>
    <row r="90" spans="2:8">
      <c r="B90" s="47" t="s">
        <v>102</v>
      </c>
      <c r="C90" s="33">
        <v>41</v>
      </c>
      <c r="D90" s="34">
        <f t="shared" si="2"/>
        <v>-6.8181818181818232E-2</v>
      </c>
      <c r="F90" t="s">
        <v>102</v>
      </c>
      <c r="G90">
        <v>8133272</v>
      </c>
      <c r="H90" s="34">
        <f t="shared" si="3"/>
        <v>4.3314590473555459E-3</v>
      </c>
    </row>
    <row r="91" spans="2:8">
      <c r="B91" s="47" t="s">
        <v>103</v>
      </c>
      <c r="C91" s="33">
        <v>41.89</v>
      </c>
      <c r="D91" s="34">
        <f t="shared" si="2"/>
        <v>2.1707317073170751E-2</v>
      </c>
      <c r="F91" t="s">
        <v>103</v>
      </c>
      <c r="G91">
        <v>8060465</v>
      </c>
      <c r="H91" s="34">
        <f t="shared" si="3"/>
        <v>-8.9517478328524636E-3</v>
      </c>
    </row>
    <row r="92" spans="2:8">
      <c r="B92" s="47" t="s">
        <v>104</v>
      </c>
      <c r="C92" s="33">
        <v>41.89</v>
      </c>
      <c r="D92" s="34">
        <f t="shared" si="2"/>
        <v>0</v>
      </c>
      <c r="F92" t="s">
        <v>104</v>
      </c>
      <c r="G92">
        <v>8051934</v>
      </c>
      <c r="H92" s="34">
        <f t="shared" si="3"/>
        <v>-1.0583756644312325E-3</v>
      </c>
    </row>
    <row r="93" spans="2:8">
      <c r="B93" s="47" t="s">
        <v>105</v>
      </c>
      <c r="C93" s="33">
        <v>41.89</v>
      </c>
      <c r="D93" s="34">
        <f t="shared" si="2"/>
        <v>0</v>
      </c>
      <c r="F93" t="s">
        <v>105</v>
      </c>
      <c r="G93">
        <v>7999660</v>
      </c>
      <c r="H93" s="34">
        <f t="shared" si="3"/>
        <v>-6.4921048781572122E-3</v>
      </c>
    </row>
    <row r="94" spans="2:8">
      <c r="B94" s="47" t="s">
        <v>106</v>
      </c>
      <c r="C94" s="33">
        <v>39.9</v>
      </c>
      <c r="D94" s="34">
        <f t="shared" si="2"/>
        <v>-4.750537121031273E-2</v>
      </c>
      <c r="F94" t="s">
        <v>106</v>
      </c>
      <c r="G94">
        <v>7903273</v>
      </c>
      <c r="H94" s="34">
        <f t="shared" si="3"/>
        <v>-1.2048887077700798E-2</v>
      </c>
    </row>
    <row r="95" spans="2:8">
      <c r="B95" s="47" t="s">
        <v>107</v>
      </c>
      <c r="C95" s="33">
        <v>39.9</v>
      </c>
      <c r="D95" s="34">
        <f t="shared" si="2"/>
        <v>0</v>
      </c>
      <c r="F95" t="s">
        <v>107</v>
      </c>
      <c r="G95">
        <v>7720990</v>
      </c>
      <c r="H95" s="34">
        <f t="shared" si="3"/>
        <v>-2.3064241865363933E-2</v>
      </c>
    </row>
    <row r="96" spans="2:8">
      <c r="B96" s="47" t="s">
        <v>108</v>
      </c>
      <c r="C96" s="33">
        <v>39.9</v>
      </c>
      <c r="D96" s="34">
        <f t="shared" si="2"/>
        <v>0</v>
      </c>
      <c r="F96" t="s">
        <v>108</v>
      </c>
      <c r="G96">
        <v>7699277</v>
      </c>
      <c r="H96" s="34">
        <f t="shared" si="3"/>
        <v>-2.8122041344439408E-3</v>
      </c>
    </row>
    <row r="97" spans="2:8">
      <c r="B97" s="47" t="s">
        <v>109</v>
      </c>
      <c r="C97" s="33">
        <v>38</v>
      </c>
      <c r="D97" s="34">
        <f t="shared" si="2"/>
        <v>-4.7619047619047561E-2</v>
      </c>
      <c r="F97" t="s">
        <v>109</v>
      </c>
      <c r="G97">
        <v>7669336</v>
      </c>
      <c r="H97" s="34">
        <f t="shared" si="3"/>
        <v>-3.8888067022396777E-3</v>
      </c>
    </row>
    <row r="98" spans="2:8">
      <c r="B98" s="47" t="s">
        <v>110</v>
      </c>
      <c r="C98" s="33">
        <v>38</v>
      </c>
      <c r="D98" s="34">
        <f t="shared" si="2"/>
        <v>0</v>
      </c>
      <c r="F98" t="s">
        <v>110</v>
      </c>
      <c r="G98">
        <v>7396131</v>
      </c>
      <c r="H98" s="34">
        <f t="shared" si="3"/>
        <v>-3.5623031772242131E-2</v>
      </c>
    </row>
    <row r="99" spans="2:8">
      <c r="B99" s="47" t="s">
        <v>111</v>
      </c>
      <c r="C99" s="33">
        <v>38</v>
      </c>
      <c r="D99" s="34">
        <f t="shared" si="2"/>
        <v>0</v>
      </c>
      <c r="F99" t="s">
        <v>111</v>
      </c>
      <c r="G99">
        <v>7541039</v>
      </c>
      <c r="H99" s="34">
        <f t="shared" si="3"/>
        <v>1.9592405813255498E-2</v>
      </c>
    </row>
    <row r="100" spans="2:8">
      <c r="B100" s="47" t="s">
        <v>112</v>
      </c>
      <c r="C100" s="33">
        <v>39.29</v>
      </c>
      <c r="D100" s="34">
        <f t="shared" si="2"/>
        <v>3.3947368421052504E-2</v>
      </c>
      <c r="F100" t="s">
        <v>112</v>
      </c>
      <c r="G100">
        <v>7391703</v>
      </c>
      <c r="H100" s="34">
        <f t="shared" si="3"/>
        <v>-1.9803106707179219E-2</v>
      </c>
    </row>
    <row r="101" spans="2:8">
      <c r="B101" s="47" t="s">
        <v>113</v>
      </c>
      <c r="C101" s="33">
        <v>39.29</v>
      </c>
      <c r="D101" s="34">
        <f t="shared" si="2"/>
        <v>0</v>
      </c>
      <c r="F101" t="s">
        <v>113</v>
      </c>
      <c r="G101">
        <v>7266447</v>
      </c>
      <c r="H101" s="34">
        <f t="shared" si="3"/>
        <v>-1.6945486040226498E-2</v>
      </c>
    </row>
    <row r="102" spans="2:8">
      <c r="B102" s="47" t="s">
        <v>114</v>
      </c>
      <c r="C102" s="33">
        <v>41.35</v>
      </c>
      <c r="D102" s="34">
        <f t="shared" si="2"/>
        <v>5.2430643929753273E-2</v>
      </c>
      <c r="F102" t="s">
        <v>114</v>
      </c>
      <c r="G102">
        <v>7387815</v>
      </c>
      <c r="H102" s="34">
        <f t="shared" si="3"/>
        <v>1.6702523255175405E-2</v>
      </c>
    </row>
    <row r="103" spans="2:8">
      <c r="B103" s="47" t="s">
        <v>115</v>
      </c>
      <c r="C103" s="33">
        <v>41.35</v>
      </c>
      <c r="D103" s="34">
        <f t="shared" si="2"/>
        <v>0</v>
      </c>
      <c r="F103" t="s">
        <v>115</v>
      </c>
      <c r="G103">
        <v>7373016</v>
      </c>
      <c r="H103" s="34">
        <f t="shared" si="3"/>
        <v>-2.0031633168940965E-3</v>
      </c>
    </row>
    <row r="104" spans="2:8">
      <c r="B104" s="47" t="s">
        <v>116</v>
      </c>
      <c r="C104" s="33">
        <v>41.39</v>
      </c>
      <c r="D104" s="34">
        <f t="shared" si="2"/>
        <v>9.6735187424412672E-4</v>
      </c>
      <c r="F104" t="s">
        <v>116</v>
      </c>
      <c r="G104">
        <v>7308833</v>
      </c>
      <c r="H104" s="34">
        <f t="shared" si="3"/>
        <v>-8.7051214862411408E-3</v>
      </c>
    </row>
    <row r="105" spans="2:8">
      <c r="B105" s="47" t="s">
        <v>117</v>
      </c>
      <c r="C105" s="33">
        <v>41.39</v>
      </c>
      <c r="D105" s="34">
        <f t="shared" si="2"/>
        <v>0</v>
      </c>
      <c r="F105" t="s">
        <v>117</v>
      </c>
      <c r="G105">
        <v>7424490</v>
      </c>
      <c r="H105" s="34">
        <f t="shared" si="3"/>
        <v>1.5824277282022958E-2</v>
      </c>
    </row>
    <row r="106" spans="2:8">
      <c r="B106" s="47" t="s">
        <v>118</v>
      </c>
      <c r="C106" s="33">
        <v>41.39</v>
      </c>
      <c r="D106" s="34">
        <f t="shared" si="2"/>
        <v>0</v>
      </c>
      <c r="F106" t="s">
        <v>118</v>
      </c>
      <c r="G106">
        <v>7424822</v>
      </c>
      <c r="H106" s="34">
        <f t="shared" si="3"/>
        <v>4.4716876175909803E-5</v>
      </c>
    </row>
    <row r="107" spans="2:8">
      <c r="B107" s="47" t="s">
        <v>119</v>
      </c>
      <c r="C107" s="33">
        <v>41.39</v>
      </c>
      <c r="D107" s="34">
        <f t="shared" si="2"/>
        <v>0</v>
      </c>
      <c r="F107" t="s">
        <v>119</v>
      </c>
      <c r="G107">
        <v>7365135</v>
      </c>
      <c r="H107" s="34">
        <f t="shared" si="3"/>
        <v>-8.0388459144206115E-3</v>
      </c>
    </row>
    <row r="108" spans="2:8">
      <c r="B108" s="47" t="s">
        <v>120</v>
      </c>
      <c r="C108" s="33">
        <v>41.39</v>
      </c>
      <c r="D108" s="34">
        <f t="shared" si="2"/>
        <v>0</v>
      </c>
      <c r="F108" t="s">
        <v>120</v>
      </c>
      <c r="G108">
        <v>7283194</v>
      </c>
      <c r="H108" s="34">
        <f t="shared" si="3"/>
        <v>-1.1125525872913378E-2</v>
      </c>
    </row>
    <row r="109" spans="2:8">
      <c r="B109" s="47" t="s">
        <v>121</v>
      </c>
      <c r="C109" s="33">
        <v>37.549999999999997</v>
      </c>
      <c r="D109" s="34">
        <f t="shared" si="2"/>
        <v>-9.277603285817837E-2</v>
      </c>
      <c r="F109" t="s">
        <v>121</v>
      </c>
      <c r="G109">
        <v>7264343</v>
      </c>
      <c r="H109" s="34">
        <f t="shared" si="3"/>
        <v>-2.588287501335218E-3</v>
      </c>
    </row>
    <row r="110" spans="2:8">
      <c r="B110" s="47" t="s">
        <v>122</v>
      </c>
      <c r="C110" s="33">
        <v>37.549999999999997</v>
      </c>
      <c r="D110" s="34">
        <f t="shared" si="2"/>
        <v>0</v>
      </c>
      <c r="F110" t="s">
        <v>122</v>
      </c>
      <c r="G110">
        <v>7411939</v>
      </c>
      <c r="H110" s="34">
        <f t="shared" si="3"/>
        <v>2.0317873206152193E-2</v>
      </c>
    </row>
    <row r="111" spans="2:8">
      <c r="B111" s="47" t="s">
        <v>123</v>
      </c>
      <c r="C111" s="33">
        <v>37.549999999999997</v>
      </c>
      <c r="D111" s="34">
        <f t="shared" si="2"/>
        <v>0</v>
      </c>
      <c r="F111" t="s">
        <v>123</v>
      </c>
      <c r="G111">
        <v>7374535</v>
      </c>
      <c r="H111" s="34">
        <f t="shared" si="3"/>
        <v>-5.046452756829245E-3</v>
      </c>
    </row>
    <row r="112" spans="2:8">
      <c r="B112" s="47" t="s">
        <v>124</v>
      </c>
      <c r="C112" s="33">
        <v>37.549999999999997</v>
      </c>
      <c r="D112" s="34">
        <f t="shared" si="2"/>
        <v>0</v>
      </c>
      <c r="F112" t="s">
        <v>124</v>
      </c>
      <c r="G112">
        <v>7314280</v>
      </c>
      <c r="H112" s="34">
        <f t="shared" si="3"/>
        <v>-8.1706846601174998E-3</v>
      </c>
    </row>
    <row r="113" spans="2:8">
      <c r="B113" s="47" t="s">
        <v>125</v>
      </c>
      <c r="C113" s="33">
        <v>37.549999999999997</v>
      </c>
      <c r="D113" s="34">
        <f t="shared" si="2"/>
        <v>0</v>
      </c>
      <c r="F113" t="s">
        <v>125</v>
      </c>
      <c r="G113">
        <v>7242664</v>
      </c>
      <c r="H113" s="34">
        <f t="shared" si="3"/>
        <v>-9.7912576494200154E-3</v>
      </c>
    </row>
    <row r="114" spans="2:8">
      <c r="B114" s="47" t="s">
        <v>126</v>
      </c>
      <c r="C114" s="33">
        <v>37.549999999999997</v>
      </c>
      <c r="D114" s="34">
        <f t="shared" si="2"/>
        <v>0</v>
      </c>
      <c r="F114" t="s">
        <v>126</v>
      </c>
      <c r="G114">
        <v>7159549</v>
      </c>
      <c r="H114" s="34">
        <f t="shared" si="3"/>
        <v>-1.1475749806977076E-2</v>
      </c>
    </row>
    <row r="115" spans="2:8">
      <c r="B115" s="47" t="s">
        <v>127</v>
      </c>
      <c r="C115" s="33">
        <v>37.549999999999997</v>
      </c>
      <c r="D115" s="34">
        <f t="shared" si="2"/>
        <v>0</v>
      </c>
      <c r="F115" t="s">
        <v>127</v>
      </c>
      <c r="G115">
        <v>7208563</v>
      </c>
      <c r="H115" s="34">
        <f t="shared" si="3"/>
        <v>6.8459619453682397E-3</v>
      </c>
    </row>
    <row r="116" spans="2:8">
      <c r="B116" s="47" t="s">
        <v>128</v>
      </c>
      <c r="C116" s="33">
        <v>39.51</v>
      </c>
      <c r="D116" s="34">
        <f t="shared" si="2"/>
        <v>5.2197070572569837E-2</v>
      </c>
      <c r="F116" t="s">
        <v>128</v>
      </c>
      <c r="G116">
        <v>7070067</v>
      </c>
      <c r="H116" s="34">
        <f t="shared" si="3"/>
        <v>-1.9212705777836736E-2</v>
      </c>
    </row>
    <row r="117" spans="2:8">
      <c r="B117" s="47" t="s">
        <v>129</v>
      </c>
      <c r="C117" s="33">
        <v>39.51</v>
      </c>
      <c r="D117" s="34">
        <f t="shared" si="2"/>
        <v>0</v>
      </c>
      <c r="F117" t="s">
        <v>129</v>
      </c>
      <c r="G117">
        <v>7168323</v>
      </c>
      <c r="H117" s="34">
        <f t="shared" si="3"/>
        <v>1.389746377226686E-2</v>
      </c>
    </row>
    <row r="118" spans="2:8">
      <c r="B118" s="47" t="s">
        <v>130</v>
      </c>
      <c r="C118" s="33">
        <v>39.51</v>
      </c>
      <c r="D118" s="34">
        <f t="shared" si="2"/>
        <v>0</v>
      </c>
      <c r="F118" t="s">
        <v>130</v>
      </c>
      <c r="G118">
        <v>7256845</v>
      </c>
      <c r="H118" s="34">
        <f t="shared" si="3"/>
        <v>1.2349052909585767E-2</v>
      </c>
    </row>
    <row r="119" spans="2:8">
      <c r="B119" s="47" t="s">
        <v>131</v>
      </c>
      <c r="C119" s="33">
        <v>39.51</v>
      </c>
      <c r="D119" s="34">
        <f t="shared" si="2"/>
        <v>0</v>
      </c>
      <c r="F119" t="s">
        <v>131</v>
      </c>
      <c r="G119">
        <v>7202615</v>
      </c>
      <c r="H119" s="34">
        <f t="shared" si="3"/>
        <v>-7.4729445096319846E-3</v>
      </c>
    </row>
  </sheetData>
  <mergeCells count="4">
    <mergeCell ref="B8:D8"/>
    <mergeCell ref="F8:H8"/>
    <mergeCell ref="K11:L11"/>
    <mergeCell ref="B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BC02-9E6C-4255-AFD9-64FD0274F97F}">
  <sheetPr>
    <tabColor theme="4" tint="-0.499984740745262"/>
  </sheetPr>
  <dimension ref="A1:V119"/>
  <sheetViews>
    <sheetView showGridLines="0" workbookViewId="0">
      <selection activeCell="I31" sqref="I31"/>
    </sheetView>
  </sheetViews>
  <sheetFormatPr defaultRowHeight="14.4"/>
  <cols>
    <col min="1" max="1" width="11.44140625" bestFit="1" customWidth="1"/>
    <col min="2" max="2" width="10.88671875" bestFit="1" customWidth="1"/>
    <col min="5" max="5" width="11.44140625" bestFit="1" customWidth="1"/>
    <col min="6" max="6" width="10.88671875" bestFit="1" customWidth="1"/>
    <col min="9" max="9" width="17.5546875" bestFit="1" customWidth="1"/>
  </cols>
  <sheetData>
    <row r="1" spans="1:1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1:1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</row>
    <row r="5" spans="1:1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</row>
    <row r="6" spans="1:1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</row>
    <row r="7" spans="1:15">
      <c r="A7" s="82" t="s">
        <v>215</v>
      </c>
      <c r="B7" s="82"/>
      <c r="C7" s="82"/>
      <c r="D7" s="82"/>
    </row>
    <row r="9" spans="1:15">
      <c r="A9" s="83" t="s">
        <v>395</v>
      </c>
      <c r="B9" s="83"/>
      <c r="C9" s="83"/>
      <c r="E9" s="83" t="s">
        <v>213</v>
      </c>
      <c r="F9" s="83"/>
      <c r="G9" s="83"/>
    </row>
    <row r="11" spans="1:15">
      <c r="A11" s="49" t="s">
        <v>70</v>
      </c>
      <c r="B11" s="49" t="s">
        <v>71</v>
      </c>
      <c r="C11" s="50" t="s">
        <v>72</v>
      </c>
      <c r="D11" s="4"/>
      <c r="E11" s="49" t="s">
        <v>70</v>
      </c>
      <c r="F11" s="49" t="s">
        <v>71</v>
      </c>
      <c r="G11" s="50" t="s">
        <v>72</v>
      </c>
      <c r="N11" t="s">
        <v>188</v>
      </c>
    </row>
    <row r="12" spans="1:15" ht="15" thickBot="1">
      <c r="A12" s="59" t="s">
        <v>222</v>
      </c>
      <c r="B12">
        <v>56.75</v>
      </c>
      <c r="E12" t="s">
        <v>222</v>
      </c>
      <c r="F12" s="33">
        <v>82269.78</v>
      </c>
      <c r="I12" s="83" t="s">
        <v>73</v>
      </c>
      <c r="J12" s="83"/>
    </row>
    <row r="13" spans="1:15">
      <c r="A13" s="58" t="s">
        <v>224</v>
      </c>
      <c r="B13">
        <v>58.2</v>
      </c>
      <c r="C13" s="34">
        <f>B13/B12-1</f>
        <v>2.5550660792951652E-2</v>
      </c>
      <c r="E13" t="s">
        <v>224</v>
      </c>
      <c r="F13" s="33">
        <v>81537.7</v>
      </c>
      <c r="G13" s="34">
        <f>F13/F12-1</f>
        <v>-8.8985287185646689E-3</v>
      </c>
      <c r="N13" s="57" t="s">
        <v>189</v>
      </c>
      <c r="O13" s="57"/>
    </row>
    <row r="14" spans="1:15">
      <c r="A14" s="58">
        <v>46327</v>
      </c>
      <c r="B14">
        <v>63.88</v>
      </c>
      <c r="C14" s="34">
        <f t="shared" ref="C14:C77" si="0">B14/B13-1</f>
        <v>9.7594501718213156E-2</v>
      </c>
      <c r="E14" s="58">
        <v>46327</v>
      </c>
      <c r="F14" s="33">
        <v>83570.350000000006</v>
      </c>
      <c r="G14" s="34">
        <f t="shared" ref="G14:G77" si="1">F14/F13-1</f>
        <v>2.4928959242166648E-2</v>
      </c>
      <c r="J14" t="s">
        <v>52</v>
      </c>
      <c r="N14" s="54" t="s">
        <v>190</v>
      </c>
      <c r="O14" s="54">
        <v>2.5130430959815493E-2</v>
      </c>
    </row>
    <row r="15" spans="1:15">
      <c r="A15" s="58">
        <v>46113</v>
      </c>
      <c r="B15">
        <v>64.180000000000007</v>
      </c>
      <c r="C15" s="34">
        <f t="shared" si="0"/>
        <v>4.6963055729494219E-3</v>
      </c>
      <c r="E15" s="58">
        <v>46113</v>
      </c>
      <c r="F15" s="33">
        <v>83576.240000000005</v>
      </c>
      <c r="G15" s="34">
        <f t="shared" si="1"/>
        <v>7.0479542086498981E-5</v>
      </c>
      <c r="I15" s="51" t="s">
        <v>74</v>
      </c>
      <c r="J15" s="33">
        <f>O28</f>
        <v>0.12129990086046503</v>
      </c>
      <c r="N15" s="54" t="s">
        <v>191</v>
      </c>
      <c r="O15" s="54">
        <v>6.3153856022605311E-4</v>
      </c>
    </row>
    <row r="16" spans="1:15">
      <c r="A16" s="58" t="s">
        <v>228</v>
      </c>
      <c r="B16">
        <v>63.33</v>
      </c>
      <c r="C16" s="34">
        <f t="shared" si="0"/>
        <v>-1.3244001246494386E-2</v>
      </c>
      <c r="E16" t="s">
        <v>228</v>
      </c>
      <c r="F16" s="33">
        <v>85762.01</v>
      </c>
      <c r="G16" s="34">
        <f t="shared" si="1"/>
        <v>2.6153007122598382E-2</v>
      </c>
      <c r="I16" t="s">
        <v>75</v>
      </c>
      <c r="J16" s="34">
        <v>0.75</v>
      </c>
      <c r="N16" s="54" t="s">
        <v>192</v>
      </c>
      <c r="O16" s="54">
        <v>-8.8862563106289379E-3</v>
      </c>
    </row>
    <row r="17" spans="1:22">
      <c r="A17" s="58" t="s">
        <v>230</v>
      </c>
      <c r="B17">
        <v>69.3</v>
      </c>
      <c r="C17" s="34">
        <f t="shared" si="0"/>
        <v>9.4268119374703918E-2</v>
      </c>
      <c r="E17" t="s">
        <v>230</v>
      </c>
      <c r="F17" s="33">
        <v>85041.45</v>
      </c>
      <c r="G17" s="34">
        <f t="shared" si="1"/>
        <v>-8.4018553203218937E-3</v>
      </c>
      <c r="J17" s="33"/>
      <c r="N17" s="54" t="s">
        <v>193</v>
      </c>
      <c r="O17" s="54">
        <v>8.0448882504375471E-2</v>
      </c>
    </row>
    <row r="18" spans="1:22" ht="15" thickBot="1">
      <c r="A18" s="58" t="s">
        <v>232</v>
      </c>
      <c r="B18">
        <v>63.76</v>
      </c>
      <c r="C18" s="34">
        <f t="shared" si="0"/>
        <v>-7.9942279942279981E-2</v>
      </c>
      <c r="E18" t="s">
        <v>232</v>
      </c>
      <c r="F18" s="33">
        <v>84929.36</v>
      </c>
      <c r="G18" s="34">
        <f t="shared" si="1"/>
        <v>-1.3180631327428527E-3</v>
      </c>
      <c r="I18" t="s">
        <v>76</v>
      </c>
      <c r="J18" s="33">
        <v>1</v>
      </c>
      <c r="N18" s="55" t="s">
        <v>194</v>
      </c>
      <c r="O18" s="55">
        <v>107</v>
      </c>
    </row>
    <row r="19" spans="1:22">
      <c r="A19" s="58">
        <v>45850</v>
      </c>
      <c r="B19">
        <v>67.53</v>
      </c>
      <c r="C19" s="34">
        <f t="shared" si="0"/>
        <v>5.9127979924717744E-2</v>
      </c>
      <c r="E19" s="58">
        <v>45850</v>
      </c>
      <c r="F19" s="33">
        <v>85267.66</v>
      </c>
      <c r="G19" s="34">
        <f t="shared" si="1"/>
        <v>3.9833103652258117E-3</v>
      </c>
      <c r="I19" t="s">
        <v>77</v>
      </c>
      <c r="J19" s="34">
        <v>0.25</v>
      </c>
    </row>
    <row r="20" spans="1:22" ht="15" thickBot="1">
      <c r="A20" s="58" t="s">
        <v>235</v>
      </c>
      <c r="B20">
        <v>69.39</v>
      </c>
      <c r="C20" s="34">
        <f t="shared" si="0"/>
        <v>2.7543314082629999E-2</v>
      </c>
      <c r="E20" t="s">
        <v>235</v>
      </c>
      <c r="F20" s="33">
        <v>85712.37</v>
      </c>
      <c r="G20" s="34">
        <f t="shared" si="1"/>
        <v>5.2154591787787474E-3</v>
      </c>
      <c r="N20" t="s">
        <v>195</v>
      </c>
    </row>
    <row r="21" spans="1:22">
      <c r="A21" s="58" t="s">
        <v>237</v>
      </c>
      <c r="B21">
        <v>68.61</v>
      </c>
      <c r="C21" s="34">
        <f t="shared" si="0"/>
        <v>-1.1240812797233102E-2</v>
      </c>
      <c r="E21" t="s">
        <v>237</v>
      </c>
      <c r="F21" s="33">
        <v>85706.67</v>
      </c>
      <c r="G21" s="34">
        <f t="shared" si="1"/>
        <v>-6.6501486308156998E-5</v>
      </c>
      <c r="I21" s="52" t="s">
        <v>78</v>
      </c>
      <c r="J21" s="53">
        <f>(J15*J16)+(J18*J19)</f>
        <v>0.34097492564534876</v>
      </c>
      <c r="N21" s="56"/>
      <c r="O21" s="56" t="s">
        <v>200</v>
      </c>
      <c r="P21" s="56" t="s">
        <v>201</v>
      </c>
      <c r="Q21" s="56" t="s">
        <v>202</v>
      </c>
      <c r="R21" s="56" t="s">
        <v>203</v>
      </c>
      <c r="S21" s="56" t="s">
        <v>204</v>
      </c>
    </row>
    <row r="22" spans="1:22">
      <c r="A22" s="58" t="s">
        <v>239</v>
      </c>
      <c r="B22">
        <v>68.989999999999995</v>
      </c>
      <c r="C22" s="34">
        <f t="shared" si="0"/>
        <v>5.5385512315988539E-3</v>
      </c>
      <c r="E22" t="s">
        <v>239</v>
      </c>
      <c r="F22" s="33">
        <v>85231.92</v>
      </c>
      <c r="G22" s="34">
        <f t="shared" si="1"/>
        <v>-5.5392421616660137E-3</v>
      </c>
      <c r="N22" s="54" t="s">
        <v>196</v>
      </c>
      <c r="O22" s="54">
        <v>1</v>
      </c>
      <c r="P22" s="54">
        <v>4.2944105759479267E-4</v>
      </c>
      <c r="Q22" s="54">
        <v>4.2944105759479267E-4</v>
      </c>
      <c r="R22" s="54">
        <v>6.6353453588280736E-2</v>
      </c>
      <c r="S22" s="54">
        <v>0.79722623843455831</v>
      </c>
    </row>
    <row r="23" spans="1:22">
      <c r="A23" s="58">
        <v>45911</v>
      </c>
      <c r="B23">
        <v>73.31</v>
      </c>
      <c r="C23" s="34">
        <f t="shared" si="0"/>
        <v>6.2617770691404617E-2</v>
      </c>
      <c r="E23" s="58">
        <v>45911</v>
      </c>
      <c r="F23" s="33">
        <v>84562.78</v>
      </c>
      <c r="G23" s="34">
        <f t="shared" si="1"/>
        <v>-7.8508145774494054E-3</v>
      </c>
      <c r="N23" s="54" t="s">
        <v>197</v>
      </c>
      <c r="O23" s="54">
        <v>105</v>
      </c>
      <c r="P23" s="54">
        <v>0.67956238310129491</v>
      </c>
      <c r="Q23" s="54">
        <v>6.472022696202809E-3</v>
      </c>
      <c r="R23" s="54"/>
      <c r="S23" s="54"/>
    </row>
    <row r="24" spans="1:22" ht="15" thickBot="1">
      <c r="A24" s="58">
        <v>45699</v>
      </c>
      <c r="B24">
        <v>69.06</v>
      </c>
      <c r="C24" s="34">
        <f t="shared" si="0"/>
        <v>-5.7972991406356589E-2</v>
      </c>
      <c r="E24" s="58">
        <v>45699</v>
      </c>
      <c r="F24" s="33">
        <v>83216.28</v>
      </c>
      <c r="G24" s="34">
        <f t="shared" si="1"/>
        <v>-1.5923081052917176E-2</v>
      </c>
      <c r="N24" s="55" t="s">
        <v>198</v>
      </c>
      <c r="O24" s="55">
        <v>106</v>
      </c>
      <c r="P24" s="55">
        <v>0.6799918241588897</v>
      </c>
      <c r="Q24" s="55"/>
      <c r="R24" s="55"/>
      <c r="S24" s="55"/>
    </row>
    <row r="25" spans="1:22" ht="15" thickBot="1">
      <c r="A25" s="58" t="s">
        <v>243</v>
      </c>
      <c r="B25">
        <v>72.98</v>
      </c>
      <c r="C25" s="34">
        <f t="shared" si="0"/>
        <v>5.6762235737040312E-2</v>
      </c>
      <c r="E25" t="s">
        <v>243</v>
      </c>
      <c r="F25" s="33">
        <v>83938.71</v>
      </c>
      <c r="G25" s="34">
        <f t="shared" si="1"/>
        <v>8.6813541773318459E-3</v>
      </c>
    </row>
    <row r="26" spans="1:22">
      <c r="A26" s="58" t="s">
        <v>245</v>
      </c>
      <c r="B26">
        <v>72.7</v>
      </c>
      <c r="C26" s="34">
        <f t="shared" si="0"/>
        <v>-3.8366675801589922E-3</v>
      </c>
      <c r="E26" t="s">
        <v>245</v>
      </c>
      <c r="F26" s="33">
        <v>84211.88</v>
      </c>
      <c r="G26" s="34">
        <f t="shared" si="1"/>
        <v>3.2543983580399782E-3</v>
      </c>
      <c r="N26" s="56"/>
      <c r="O26" s="56" t="s">
        <v>205</v>
      </c>
      <c r="P26" s="56" t="s">
        <v>193</v>
      </c>
      <c r="Q26" s="56" t="s">
        <v>206</v>
      </c>
      <c r="R26" s="56" t="s">
        <v>207</v>
      </c>
      <c r="S26" s="56" t="s">
        <v>208</v>
      </c>
      <c r="T26" s="56" t="s">
        <v>209</v>
      </c>
      <c r="U26" s="56" t="s">
        <v>210</v>
      </c>
      <c r="V26" s="56" t="s">
        <v>211</v>
      </c>
    </row>
    <row r="27" spans="1:22">
      <c r="A27" s="58">
        <v>46001</v>
      </c>
      <c r="B27">
        <v>69.95</v>
      </c>
      <c r="C27" s="34">
        <f t="shared" si="0"/>
        <v>-3.7826685006877581E-2</v>
      </c>
      <c r="E27" s="58">
        <v>46001</v>
      </c>
      <c r="F27" s="33">
        <v>83952.19</v>
      </c>
      <c r="G27" s="34">
        <f t="shared" si="1"/>
        <v>-3.083769178410467E-3</v>
      </c>
      <c r="N27" s="54" t="s">
        <v>199</v>
      </c>
      <c r="O27" s="54">
        <v>1.7738733626815086E-3</v>
      </c>
      <c r="P27" s="54">
        <v>7.7947052055998192E-3</v>
      </c>
      <c r="Q27" s="54">
        <v>0.22757414371580525</v>
      </c>
      <c r="R27" s="54">
        <v>0.82041986378566267</v>
      </c>
      <c r="S27" s="54">
        <v>-1.368158717371157E-2</v>
      </c>
      <c r="T27" s="54">
        <v>1.7229333899074585E-2</v>
      </c>
      <c r="U27" s="54">
        <v>-1.368158717371157E-2</v>
      </c>
      <c r="V27" s="54">
        <v>1.7229333899074585E-2</v>
      </c>
    </row>
    <row r="28" spans="1:22" ht="15" thickBot="1">
      <c r="A28" s="58">
        <v>45787</v>
      </c>
      <c r="B28">
        <v>72.77</v>
      </c>
      <c r="C28" s="34">
        <f t="shared" si="0"/>
        <v>4.0314510364545919E-2</v>
      </c>
      <c r="E28" s="58">
        <v>45787</v>
      </c>
      <c r="F28" s="33">
        <v>82500.820000000007</v>
      </c>
      <c r="G28" s="34">
        <f t="shared" si="1"/>
        <v>-1.7288054069822256E-2</v>
      </c>
      <c r="N28" s="55" t="s">
        <v>212</v>
      </c>
      <c r="O28" s="55">
        <v>0.12129990086046503</v>
      </c>
      <c r="P28" s="55">
        <v>0.47089998852757464</v>
      </c>
      <c r="Q28" s="55">
        <v>0.25759164114603084</v>
      </c>
      <c r="R28" s="55">
        <v>0.79722623843452123</v>
      </c>
      <c r="S28" s="55">
        <v>-0.81240778882192211</v>
      </c>
      <c r="T28" s="55">
        <v>1.0550075905428522</v>
      </c>
      <c r="U28" s="55">
        <v>-0.81240778882192211</v>
      </c>
      <c r="V28" s="55">
        <v>1.0550075905428522</v>
      </c>
    </row>
    <row r="29" spans="1:22">
      <c r="A29" s="58" t="s">
        <v>249</v>
      </c>
      <c r="B29">
        <v>69.62</v>
      </c>
      <c r="C29" s="34">
        <f t="shared" si="0"/>
        <v>-4.3287068847052246E-2</v>
      </c>
      <c r="E29" t="s">
        <v>249</v>
      </c>
      <c r="F29" s="33">
        <v>81207.17</v>
      </c>
      <c r="G29" s="34">
        <f t="shared" si="1"/>
        <v>-1.5680450206434382E-2</v>
      </c>
    </row>
    <row r="30" spans="1:22">
      <c r="A30" s="58" t="s">
        <v>251</v>
      </c>
      <c r="B30">
        <v>69.27</v>
      </c>
      <c r="C30" s="34">
        <f t="shared" si="0"/>
        <v>-5.0272910083311029E-3</v>
      </c>
      <c r="E30" t="s">
        <v>251</v>
      </c>
      <c r="F30" s="33">
        <v>80426.460000000006</v>
      </c>
      <c r="G30" s="34">
        <f t="shared" si="1"/>
        <v>-9.613806268584324E-3</v>
      </c>
    </row>
    <row r="31" spans="1:22">
      <c r="A31" s="58" t="s">
        <v>253</v>
      </c>
      <c r="B31">
        <v>70.069999999999993</v>
      </c>
      <c r="C31" s="34">
        <f t="shared" si="0"/>
        <v>1.1549011115923102E-2</v>
      </c>
      <c r="E31" t="s">
        <v>253</v>
      </c>
      <c r="F31" s="33">
        <v>82626.23</v>
      </c>
      <c r="G31" s="34">
        <f t="shared" si="1"/>
        <v>2.7351321940565221E-2</v>
      </c>
    </row>
    <row r="32" spans="1:22">
      <c r="A32" s="58">
        <v>45847</v>
      </c>
      <c r="B32">
        <v>71.89</v>
      </c>
      <c r="C32" s="34">
        <f t="shared" si="0"/>
        <v>2.5974025974025983E-2</v>
      </c>
      <c r="E32" s="58">
        <v>45847</v>
      </c>
      <c r="F32" s="33">
        <v>81904.7</v>
      </c>
      <c r="G32" s="34">
        <f t="shared" si="1"/>
        <v>-8.7324569933784346E-3</v>
      </c>
    </row>
    <row r="33" spans="1:7">
      <c r="A33" s="58" t="s">
        <v>256</v>
      </c>
      <c r="B33">
        <v>72.06</v>
      </c>
      <c r="C33" s="34">
        <f t="shared" si="0"/>
        <v>2.3647238837112283E-3</v>
      </c>
      <c r="E33" t="s">
        <v>256</v>
      </c>
      <c r="F33" s="33">
        <v>80710.759999999995</v>
      </c>
      <c r="G33" s="34">
        <f t="shared" si="1"/>
        <v>-1.4577185436244866E-2</v>
      </c>
    </row>
    <row r="34" spans="1:7">
      <c r="A34" s="58" t="s">
        <v>258</v>
      </c>
      <c r="B34">
        <v>70.12</v>
      </c>
      <c r="C34" s="34">
        <f t="shared" si="0"/>
        <v>-2.692200943658063E-2</v>
      </c>
      <c r="E34" t="s">
        <v>258</v>
      </c>
      <c r="F34" s="33">
        <v>79809.649999999994</v>
      </c>
      <c r="G34" s="34">
        <f t="shared" si="1"/>
        <v>-1.116468237940027E-2</v>
      </c>
    </row>
    <row r="35" spans="1:7">
      <c r="A35" s="58" t="s">
        <v>260</v>
      </c>
      <c r="B35">
        <v>73.59</v>
      </c>
      <c r="C35" s="34">
        <f t="shared" si="0"/>
        <v>4.9486594409583473E-2</v>
      </c>
      <c r="E35" t="s">
        <v>260</v>
      </c>
      <c r="F35" s="33">
        <v>81306.850000000006</v>
      </c>
      <c r="G35" s="34">
        <f t="shared" si="1"/>
        <v>1.8759636209405794E-2</v>
      </c>
    </row>
    <row r="36" spans="1:7">
      <c r="A36" s="58">
        <v>45938</v>
      </c>
      <c r="B36">
        <v>55</v>
      </c>
      <c r="C36" s="34">
        <f t="shared" si="0"/>
        <v>-0.25261584454409569</v>
      </c>
      <c r="E36" s="58">
        <v>45938</v>
      </c>
      <c r="F36" s="33">
        <v>80597.66</v>
      </c>
      <c r="G36" s="34">
        <f t="shared" si="1"/>
        <v>-8.7223893189811719E-3</v>
      </c>
    </row>
    <row r="37" spans="1:7">
      <c r="A37" s="58">
        <v>45724</v>
      </c>
      <c r="B37">
        <v>52.75</v>
      </c>
      <c r="C37" s="34">
        <f t="shared" si="0"/>
        <v>-4.0909090909090895E-2</v>
      </c>
      <c r="E37" s="58">
        <v>45724</v>
      </c>
      <c r="F37" s="33">
        <v>79857.789999999994</v>
      </c>
      <c r="G37" s="34">
        <f t="shared" si="1"/>
        <v>-9.1797950461590672E-3</v>
      </c>
    </row>
    <row r="38" spans="1:7">
      <c r="A38" s="58" t="s">
        <v>264</v>
      </c>
      <c r="B38">
        <v>50.3</v>
      </c>
      <c r="C38" s="34">
        <f t="shared" si="0"/>
        <v>-4.6445497630331789E-2</v>
      </c>
      <c r="E38" t="s">
        <v>264</v>
      </c>
      <c r="F38" s="33">
        <v>80599.91</v>
      </c>
      <c r="G38" s="34">
        <f t="shared" si="1"/>
        <v>9.2930195037954633E-3</v>
      </c>
    </row>
    <row r="39" spans="1:7">
      <c r="A39" s="58" t="s">
        <v>266</v>
      </c>
      <c r="B39">
        <v>50.07</v>
      </c>
      <c r="C39" s="34">
        <f t="shared" si="0"/>
        <v>-4.5725646123260244E-3</v>
      </c>
      <c r="E39" t="s">
        <v>266</v>
      </c>
      <c r="F39" s="33">
        <v>81463.09</v>
      </c>
      <c r="G39" s="34">
        <f t="shared" si="1"/>
        <v>1.0709441238829998E-2</v>
      </c>
    </row>
    <row r="40" spans="1:7">
      <c r="A40" s="58" t="s">
        <v>268</v>
      </c>
      <c r="B40">
        <v>51.15</v>
      </c>
      <c r="C40" s="34">
        <f t="shared" si="0"/>
        <v>2.1569802276812489E-2</v>
      </c>
      <c r="E40" t="s">
        <v>268</v>
      </c>
      <c r="F40" s="33">
        <v>81757.73</v>
      </c>
      <c r="G40" s="34">
        <f t="shared" si="1"/>
        <v>3.6168527366198244E-3</v>
      </c>
    </row>
    <row r="41" spans="1:7">
      <c r="A41" s="58">
        <v>45815</v>
      </c>
      <c r="B41">
        <v>53.5</v>
      </c>
      <c r="C41" s="34">
        <f t="shared" si="0"/>
        <v>4.5943304007820096E-2</v>
      </c>
      <c r="E41" s="58">
        <v>45815</v>
      </c>
      <c r="F41" s="33">
        <v>82500.47</v>
      </c>
      <c r="G41" s="34">
        <f t="shared" si="1"/>
        <v>9.0846455741862009E-3</v>
      </c>
    </row>
    <row r="42" spans="1:7">
      <c r="A42" s="58" t="s">
        <v>271</v>
      </c>
      <c r="B42">
        <v>53.77</v>
      </c>
      <c r="C42" s="34">
        <f t="shared" si="0"/>
        <v>5.0467289719626773E-3</v>
      </c>
      <c r="E42" t="s">
        <v>271</v>
      </c>
      <c r="F42" s="33">
        <v>83432.89</v>
      </c>
      <c r="G42" s="34">
        <f t="shared" si="1"/>
        <v>1.1301996218930688E-2</v>
      </c>
    </row>
    <row r="43" spans="1:7">
      <c r="A43" s="58" t="s">
        <v>273</v>
      </c>
      <c r="B43">
        <v>54.9</v>
      </c>
      <c r="C43" s="34">
        <f t="shared" si="0"/>
        <v>2.1015436116793573E-2</v>
      </c>
      <c r="E43" t="s">
        <v>273</v>
      </c>
      <c r="F43" s="33">
        <v>84058.9</v>
      </c>
      <c r="G43" s="34">
        <f t="shared" si="1"/>
        <v>7.5031561294351956E-3</v>
      </c>
    </row>
    <row r="44" spans="1:7">
      <c r="A44" s="58" t="s">
        <v>275</v>
      </c>
      <c r="B44">
        <v>54.95</v>
      </c>
      <c r="C44" s="34">
        <f t="shared" si="0"/>
        <v>9.107468123863427E-4</v>
      </c>
      <c r="E44" t="s">
        <v>275</v>
      </c>
      <c r="F44" s="33">
        <v>82408.17</v>
      </c>
      <c r="G44" s="34">
        <f t="shared" si="1"/>
        <v>-1.9637777796283284E-2</v>
      </c>
    </row>
    <row r="45" spans="1:7">
      <c r="A45" s="58">
        <v>45875</v>
      </c>
      <c r="B45">
        <v>54.8</v>
      </c>
      <c r="C45" s="34">
        <f t="shared" si="0"/>
        <v>-2.7297543221110887E-3</v>
      </c>
      <c r="E45" s="58">
        <v>45875</v>
      </c>
      <c r="F45" s="33">
        <v>81118.600000000006</v>
      </c>
      <c r="G45" s="34">
        <f t="shared" si="1"/>
        <v>-1.5648569795931544E-2</v>
      </c>
    </row>
    <row r="46" spans="1:7">
      <c r="A46" s="58">
        <v>45663</v>
      </c>
      <c r="B46">
        <v>52.68</v>
      </c>
      <c r="C46" s="34">
        <f t="shared" si="0"/>
        <v>-3.8686131386861278E-2</v>
      </c>
      <c r="E46" s="58">
        <v>45663</v>
      </c>
      <c r="F46" s="33">
        <v>82188.990000000005</v>
      </c>
      <c r="G46" s="34">
        <f t="shared" si="1"/>
        <v>1.319537072878485E-2</v>
      </c>
    </row>
    <row r="47" spans="1:7">
      <c r="A47" s="58" t="s">
        <v>279</v>
      </c>
      <c r="B47">
        <v>56.02</v>
      </c>
      <c r="C47" s="34">
        <f t="shared" si="0"/>
        <v>6.3401670463173909E-2</v>
      </c>
      <c r="E47" t="s">
        <v>279</v>
      </c>
      <c r="F47" s="33">
        <v>81451.009999999995</v>
      </c>
      <c r="G47" s="34">
        <f t="shared" si="1"/>
        <v>-8.9790615507017169E-3</v>
      </c>
    </row>
    <row r="48" spans="1:7">
      <c r="A48" s="58" t="s">
        <v>281</v>
      </c>
      <c r="B48">
        <v>54.09</v>
      </c>
      <c r="C48" s="34">
        <f t="shared" si="0"/>
        <v>-3.4451981435201673E-2</v>
      </c>
      <c r="E48" t="s">
        <v>281</v>
      </c>
      <c r="F48" s="33">
        <v>81721.08</v>
      </c>
      <c r="G48" s="34">
        <f t="shared" si="1"/>
        <v>3.3157354340971334E-3</v>
      </c>
    </row>
    <row r="49" spans="1:7">
      <c r="A49" s="58">
        <v>45966</v>
      </c>
      <c r="B49">
        <v>55.01</v>
      </c>
      <c r="C49" s="34">
        <f t="shared" si="0"/>
        <v>1.7008689221667428E-2</v>
      </c>
      <c r="E49" s="58">
        <v>45966</v>
      </c>
      <c r="F49" s="33">
        <v>82330.59</v>
      </c>
      <c r="G49" s="34">
        <f t="shared" si="1"/>
        <v>7.4584183175259167E-3</v>
      </c>
    </row>
    <row r="50" spans="1:7">
      <c r="A50" s="58">
        <v>45752</v>
      </c>
      <c r="B50">
        <v>54.49</v>
      </c>
      <c r="C50" s="34">
        <f t="shared" si="0"/>
        <v>-9.4528267587710157E-3</v>
      </c>
      <c r="E50" s="58">
        <v>45752</v>
      </c>
      <c r="F50" s="33">
        <v>79454.47</v>
      </c>
      <c r="G50" s="34">
        <f t="shared" si="1"/>
        <v>-3.4933795567358317E-2</v>
      </c>
    </row>
    <row r="51" spans="1:7">
      <c r="A51" s="58" t="s">
        <v>285</v>
      </c>
      <c r="B51">
        <v>55.3</v>
      </c>
      <c r="C51" s="34">
        <f t="shared" si="0"/>
        <v>1.4865112864745678E-2</v>
      </c>
      <c r="E51" t="s">
        <v>285</v>
      </c>
      <c r="F51" s="33">
        <v>80501.990000000005</v>
      </c>
      <c r="G51" s="34">
        <f t="shared" si="1"/>
        <v>1.3183902680365289E-2</v>
      </c>
    </row>
    <row r="52" spans="1:7">
      <c r="A52" s="58" t="s">
        <v>287</v>
      </c>
      <c r="B52">
        <v>52.66</v>
      </c>
      <c r="C52" s="34">
        <f t="shared" si="0"/>
        <v>-4.7739602169981965E-2</v>
      </c>
      <c r="E52" t="s">
        <v>287</v>
      </c>
      <c r="F52" s="33">
        <v>79212.53</v>
      </c>
      <c r="G52" s="34">
        <f t="shared" si="1"/>
        <v>-1.6017740679454051E-2</v>
      </c>
    </row>
    <row r="53" spans="1:7">
      <c r="A53" s="58" t="s">
        <v>289</v>
      </c>
      <c r="B53">
        <v>56.85</v>
      </c>
      <c r="C53" s="34">
        <f t="shared" si="0"/>
        <v>7.9567033801747122E-2</v>
      </c>
      <c r="E53" t="s">
        <v>289</v>
      </c>
      <c r="F53" s="33">
        <v>78553.2</v>
      </c>
      <c r="G53" s="34">
        <f t="shared" si="1"/>
        <v>-8.323556891820072E-3</v>
      </c>
    </row>
    <row r="54" spans="1:7">
      <c r="A54" s="58">
        <v>45812</v>
      </c>
      <c r="B54">
        <v>53.95</v>
      </c>
      <c r="C54" s="34">
        <f t="shared" si="0"/>
        <v>-5.1011433597185518E-2</v>
      </c>
      <c r="E54" s="58">
        <v>45812</v>
      </c>
      <c r="F54" s="33">
        <v>75157.259999999995</v>
      </c>
      <c r="G54" s="34">
        <f t="shared" si="1"/>
        <v>-4.3231084156978961E-2</v>
      </c>
    </row>
    <row r="55" spans="1:7">
      <c r="A55" s="58" t="s">
        <v>292</v>
      </c>
      <c r="B55">
        <v>55.02</v>
      </c>
      <c r="C55" s="34">
        <f t="shared" si="0"/>
        <v>1.9833178869323342E-2</v>
      </c>
      <c r="E55" t="s">
        <v>292</v>
      </c>
      <c r="F55" s="33">
        <v>75364.69</v>
      </c>
      <c r="G55" s="34">
        <f t="shared" si="1"/>
        <v>2.7599462779777095E-3</v>
      </c>
    </row>
    <row r="56" spans="1:7">
      <c r="A56" s="58" t="s">
        <v>294</v>
      </c>
      <c r="B56">
        <v>50.14</v>
      </c>
      <c r="C56" s="34">
        <f t="shared" si="0"/>
        <v>-8.8695019992729995E-2</v>
      </c>
      <c r="E56" t="s">
        <v>294</v>
      </c>
      <c r="F56" s="33">
        <v>77414.92</v>
      </c>
      <c r="G56" s="34">
        <f t="shared" si="1"/>
        <v>2.7204119064246024E-2</v>
      </c>
    </row>
    <row r="57" spans="1:7">
      <c r="A57" s="58" t="s">
        <v>296</v>
      </c>
      <c r="B57">
        <v>55.62</v>
      </c>
      <c r="C57" s="34">
        <f t="shared" si="0"/>
        <v>0.10929397686477849</v>
      </c>
      <c r="E57" t="s">
        <v>296</v>
      </c>
      <c r="F57" s="33">
        <v>76905.509999999995</v>
      </c>
      <c r="G57" s="34">
        <f t="shared" si="1"/>
        <v>-6.5802561056705899E-3</v>
      </c>
    </row>
    <row r="58" spans="1:7">
      <c r="A58" s="58">
        <v>45903</v>
      </c>
      <c r="B58">
        <v>53.05</v>
      </c>
      <c r="C58" s="34">
        <f t="shared" si="0"/>
        <v>-4.6206400575332651E-2</v>
      </c>
      <c r="E58" s="58">
        <v>45903</v>
      </c>
      <c r="F58" s="33">
        <v>73828.91</v>
      </c>
      <c r="G58" s="34">
        <f t="shared" si="1"/>
        <v>-4.0004935927217544E-2</v>
      </c>
    </row>
    <row r="59" spans="1:7">
      <c r="A59" s="58">
        <v>45691</v>
      </c>
      <c r="B59">
        <v>55.91</v>
      </c>
      <c r="C59" s="34">
        <f t="shared" si="0"/>
        <v>5.3911404335532431E-2</v>
      </c>
      <c r="E59" s="58">
        <v>45691</v>
      </c>
      <c r="F59" s="33">
        <v>74332.58</v>
      </c>
      <c r="G59" s="34">
        <f t="shared" si="1"/>
        <v>6.8221242870847298E-3</v>
      </c>
    </row>
    <row r="60" spans="1:7">
      <c r="A60" s="58" t="s">
        <v>300</v>
      </c>
      <c r="B60">
        <v>58.32</v>
      </c>
      <c r="C60" s="34">
        <f t="shared" si="0"/>
        <v>4.3104990162761592E-2</v>
      </c>
      <c r="E60" t="s">
        <v>300</v>
      </c>
      <c r="F60" s="33">
        <v>73198.100000000006</v>
      </c>
      <c r="G60" s="34">
        <f t="shared" si="1"/>
        <v>-1.5262217455656701E-2</v>
      </c>
    </row>
    <row r="61" spans="1:7">
      <c r="A61" s="58" t="s">
        <v>302</v>
      </c>
      <c r="B61">
        <v>56.73</v>
      </c>
      <c r="C61" s="34">
        <f t="shared" si="0"/>
        <v>-2.7263374485596792E-2</v>
      </c>
      <c r="E61" t="s">
        <v>302</v>
      </c>
      <c r="F61" s="33">
        <v>75311.06</v>
      </c>
      <c r="G61" s="34">
        <f t="shared" si="1"/>
        <v>2.8866323032974872E-2</v>
      </c>
    </row>
    <row r="62" spans="1:7">
      <c r="A62" s="58">
        <v>45902</v>
      </c>
      <c r="B62">
        <v>53.51</v>
      </c>
      <c r="C62" s="34">
        <f t="shared" si="0"/>
        <v>-5.6760091662259815E-2</v>
      </c>
      <c r="E62" s="58">
        <v>45902</v>
      </c>
      <c r="F62" s="33">
        <v>75939.210000000006</v>
      </c>
      <c r="G62" s="34">
        <f t="shared" si="1"/>
        <v>8.3407403905881861E-3</v>
      </c>
    </row>
    <row r="63" spans="1:7">
      <c r="A63" s="58">
        <v>45690</v>
      </c>
      <c r="B63">
        <v>60.95</v>
      </c>
      <c r="C63" s="34">
        <f t="shared" si="0"/>
        <v>0.13903943188189127</v>
      </c>
      <c r="E63" s="58">
        <v>45690</v>
      </c>
      <c r="F63" s="33">
        <v>77860.19</v>
      </c>
      <c r="G63" s="34">
        <f t="shared" si="1"/>
        <v>2.5296286332185947E-2</v>
      </c>
    </row>
    <row r="64" spans="1:7">
      <c r="A64" s="58" t="s">
        <v>306</v>
      </c>
      <c r="B64">
        <v>62.5</v>
      </c>
      <c r="C64" s="34">
        <f t="shared" si="0"/>
        <v>2.5430680885972112E-2</v>
      </c>
      <c r="E64" t="s">
        <v>306</v>
      </c>
      <c r="F64" s="33">
        <v>76190.460000000006</v>
      </c>
      <c r="G64" s="34">
        <f t="shared" si="1"/>
        <v>-2.1445234079187303E-2</v>
      </c>
    </row>
    <row r="65" spans="1:7">
      <c r="A65" s="58" t="s">
        <v>308</v>
      </c>
      <c r="B65">
        <v>62.45</v>
      </c>
      <c r="C65" s="34">
        <f t="shared" si="0"/>
        <v>-7.9999999999991189E-4</v>
      </c>
      <c r="E65" t="s">
        <v>308</v>
      </c>
      <c r="F65" s="33">
        <v>76619.33</v>
      </c>
      <c r="G65" s="34">
        <f t="shared" si="1"/>
        <v>5.6289199461454498E-3</v>
      </c>
    </row>
    <row r="66" spans="1:7">
      <c r="A66" s="58">
        <v>45992</v>
      </c>
      <c r="B66">
        <v>62.28</v>
      </c>
      <c r="C66" s="34">
        <f t="shared" si="0"/>
        <v>-2.7221777421937432E-3</v>
      </c>
      <c r="E66" s="58">
        <v>45992</v>
      </c>
      <c r="F66" s="33">
        <v>77378.91</v>
      </c>
      <c r="G66" s="34">
        <f t="shared" si="1"/>
        <v>9.9136862721196373E-3</v>
      </c>
    </row>
    <row r="67" spans="1:7">
      <c r="A67" s="58">
        <v>45778</v>
      </c>
      <c r="B67">
        <v>63.11</v>
      </c>
      <c r="C67" s="34">
        <f t="shared" si="0"/>
        <v>1.3326910725754537E-2</v>
      </c>
      <c r="E67" s="58">
        <v>45778</v>
      </c>
      <c r="F67" s="33">
        <v>79223.11</v>
      </c>
      <c r="G67" s="34">
        <f t="shared" si="1"/>
        <v>2.3833367515774029E-2</v>
      </c>
    </row>
    <row r="68" spans="1:7">
      <c r="A68" s="58" t="s">
        <v>312</v>
      </c>
      <c r="B68">
        <v>65.59</v>
      </c>
      <c r="C68" s="34">
        <f t="shared" si="0"/>
        <v>3.9296466487086068E-2</v>
      </c>
      <c r="E68" t="s">
        <v>312</v>
      </c>
      <c r="F68" s="33">
        <v>78699.070000000007</v>
      </c>
      <c r="G68" s="34">
        <f t="shared" si="1"/>
        <v>-6.6147365333170116E-3</v>
      </c>
    </row>
    <row r="69" spans="1:7">
      <c r="A69" s="58" t="s">
        <v>314</v>
      </c>
      <c r="B69">
        <v>66.489999999999995</v>
      </c>
      <c r="C69" s="34">
        <f t="shared" si="0"/>
        <v>1.3721603903033897E-2</v>
      </c>
      <c r="E69" t="s">
        <v>314</v>
      </c>
      <c r="F69" s="33">
        <v>78041.59</v>
      </c>
      <c r="G69" s="34">
        <f t="shared" si="1"/>
        <v>-8.3543553945428783E-3</v>
      </c>
    </row>
    <row r="70" spans="1:7">
      <c r="A70" s="58" t="s">
        <v>316</v>
      </c>
      <c r="B70">
        <v>65.56</v>
      </c>
      <c r="C70" s="34">
        <f t="shared" si="0"/>
        <v>-1.3987065724168968E-2</v>
      </c>
      <c r="E70" t="s">
        <v>316</v>
      </c>
      <c r="F70" s="33">
        <v>82133.119999999995</v>
      </c>
      <c r="G70" s="34">
        <f t="shared" si="1"/>
        <v>5.2427558177633227E-2</v>
      </c>
    </row>
    <row r="71" spans="1:7">
      <c r="A71" s="58">
        <v>45516</v>
      </c>
      <c r="B71">
        <v>69.739999999999995</v>
      </c>
      <c r="C71" s="34">
        <f t="shared" si="0"/>
        <v>6.3758389261744819E-2</v>
      </c>
      <c r="E71" s="58">
        <v>45516</v>
      </c>
      <c r="F71" s="33">
        <v>81709.119999999995</v>
      </c>
      <c r="G71" s="34">
        <f t="shared" si="1"/>
        <v>-5.162351071041793E-3</v>
      </c>
    </row>
    <row r="72" spans="1:7">
      <c r="A72" s="58">
        <v>45303</v>
      </c>
      <c r="B72">
        <v>67.349999999999994</v>
      </c>
      <c r="C72" s="34">
        <f t="shared" si="0"/>
        <v>-3.4270146257528E-2</v>
      </c>
      <c r="E72" s="58">
        <v>45303</v>
      </c>
      <c r="F72" s="33">
        <v>79802.789999999994</v>
      </c>
      <c r="G72" s="34">
        <f t="shared" si="1"/>
        <v>-2.3330688177770176E-2</v>
      </c>
    </row>
    <row r="73" spans="1:7">
      <c r="A73" s="58" t="s">
        <v>320</v>
      </c>
      <c r="B73">
        <v>65</v>
      </c>
      <c r="C73" s="34">
        <f t="shared" si="0"/>
        <v>-3.4892353377876661E-2</v>
      </c>
      <c r="E73" t="s">
        <v>320</v>
      </c>
      <c r="F73" s="33">
        <v>79117.11</v>
      </c>
      <c r="G73" s="34">
        <f t="shared" si="1"/>
        <v>-8.592180799693705E-3</v>
      </c>
    </row>
    <row r="74" spans="1:7">
      <c r="A74" s="58" t="s">
        <v>322</v>
      </c>
      <c r="B74">
        <v>60.56</v>
      </c>
      <c r="C74" s="34">
        <f t="shared" si="0"/>
        <v>-6.8307692307692292E-2</v>
      </c>
      <c r="E74" t="s">
        <v>322</v>
      </c>
      <c r="F74" s="33">
        <v>77580.31</v>
      </c>
      <c r="G74" s="34">
        <f t="shared" si="1"/>
        <v>-1.9424369772859551E-2</v>
      </c>
    </row>
    <row r="75" spans="1:7">
      <c r="A75" s="58">
        <v>45576</v>
      </c>
      <c r="B75">
        <v>60.1</v>
      </c>
      <c r="C75" s="34">
        <f t="shared" si="0"/>
        <v>-7.5957727873183778E-3</v>
      </c>
      <c r="E75" s="58">
        <v>45576</v>
      </c>
      <c r="F75" s="33">
        <v>79486.320000000007</v>
      </c>
      <c r="G75" s="34">
        <f t="shared" si="1"/>
        <v>2.4568218404902087E-2</v>
      </c>
    </row>
    <row r="76" spans="1:7">
      <c r="A76" s="58">
        <v>45362</v>
      </c>
      <c r="B76">
        <v>67.349999999999994</v>
      </c>
      <c r="C76" s="34">
        <f t="shared" si="0"/>
        <v>0.12063227953410971</v>
      </c>
      <c r="E76" s="58">
        <v>45362</v>
      </c>
      <c r="F76" s="33">
        <v>79724.12</v>
      </c>
      <c r="G76" s="34">
        <f t="shared" si="1"/>
        <v>2.9917097684228899E-3</v>
      </c>
    </row>
    <row r="77" spans="1:7">
      <c r="A77" s="58" t="s">
        <v>326</v>
      </c>
      <c r="B77">
        <v>74.319999999999993</v>
      </c>
      <c r="C77" s="34">
        <f t="shared" si="0"/>
        <v>0.10348923533778764</v>
      </c>
      <c r="E77" t="s">
        <v>326</v>
      </c>
      <c r="F77" s="33">
        <v>79402.289999999994</v>
      </c>
      <c r="G77" s="34">
        <f t="shared" si="1"/>
        <v>-4.0367958906288859E-3</v>
      </c>
    </row>
    <row r="78" spans="1:7">
      <c r="A78" s="58" t="s">
        <v>328</v>
      </c>
      <c r="B78">
        <v>65.25</v>
      </c>
      <c r="C78" s="34">
        <f t="shared" ref="C78:C119" si="2">B78/B77-1</f>
        <v>-0.12203982777179756</v>
      </c>
      <c r="E78" t="s">
        <v>328</v>
      </c>
      <c r="F78" s="33">
        <v>81224.75</v>
      </c>
      <c r="G78" s="34">
        <f t="shared" ref="G78:G119" si="3">F78/F77-1</f>
        <v>2.2952234752927181E-2</v>
      </c>
    </row>
    <row r="79" spans="1:7">
      <c r="A79" s="58" t="s">
        <v>330</v>
      </c>
      <c r="B79">
        <v>68.52</v>
      </c>
      <c r="C79" s="34">
        <f t="shared" si="2"/>
        <v>5.0114942528735495E-2</v>
      </c>
      <c r="E79" t="s">
        <v>330</v>
      </c>
      <c r="F79" s="33">
        <v>81381.36</v>
      </c>
      <c r="G79" s="34">
        <f t="shared" si="3"/>
        <v>1.9281068886023434E-3</v>
      </c>
    </row>
    <row r="80" spans="1:7">
      <c r="A80" s="58">
        <v>45453</v>
      </c>
      <c r="B80">
        <v>73.91</v>
      </c>
      <c r="C80" s="34">
        <f t="shared" si="2"/>
        <v>7.866316403969642E-2</v>
      </c>
      <c r="E80" s="58">
        <v>45453</v>
      </c>
      <c r="F80" s="33">
        <v>81688.45</v>
      </c>
      <c r="G80" s="34">
        <f t="shared" si="3"/>
        <v>3.7734685190808914E-3</v>
      </c>
    </row>
    <row r="81" spans="1:7">
      <c r="A81" s="58" t="s">
        <v>333</v>
      </c>
      <c r="B81">
        <v>78.33</v>
      </c>
      <c r="C81" s="34">
        <f t="shared" si="2"/>
        <v>5.9802462454336291E-2</v>
      </c>
      <c r="E81" t="s">
        <v>333</v>
      </c>
      <c r="F81" s="33">
        <v>85571.85</v>
      </c>
      <c r="G81" s="34">
        <f t="shared" si="3"/>
        <v>4.7539156392366388E-2</v>
      </c>
    </row>
    <row r="82" spans="1:7">
      <c r="A82" s="58" t="s">
        <v>335</v>
      </c>
      <c r="B82">
        <v>75.069999999999993</v>
      </c>
      <c r="C82" s="34">
        <f t="shared" si="2"/>
        <v>-4.1618792289033646E-2</v>
      </c>
      <c r="E82" t="s">
        <v>335</v>
      </c>
      <c r="F82" s="33">
        <v>84544.31</v>
      </c>
      <c r="G82" s="34">
        <f t="shared" si="3"/>
        <v>-1.2007920829104513E-2</v>
      </c>
    </row>
    <row r="83" spans="1:7">
      <c r="A83" s="58" t="s">
        <v>337</v>
      </c>
      <c r="B83">
        <v>76.819999999999993</v>
      </c>
      <c r="C83" s="34">
        <f t="shared" si="2"/>
        <v>2.3311575862528411E-2</v>
      </c>
      <c r="E83" t="s">
        <v>337</v>
      </c>
      <c r="F83" s="33">
        <v>82890.94</v>
      </c>
      <c r="G83" s="34">
        <f t="shared" si="3"/>
        <v>-1.9556253992728756E-2</v>
      </c>
    </row>
    <row r="84" spans="1:7">
      <c r="A84" s="58">
        <v>45513</v>
      </c>
      <c r="B84">
        <v>73.92</v>
      </c>
      <c r="C84" s="34">
        <f t="shared" si="2"/>
        <v>-3.7750585784951718E-2</v>
      </c>
      <c r="E84" s="58">
        <v>45513</v>
      </c>
      <c r="F84" s="33">
        <v>81183.929999999993</v>
      </c>
      <c r="G84" s="34">
        <f t="shared" si="3"/>
        <v>-2.0593444832451069E-2</v>
      </c>
    </row>
    <row r="85" spans="1:7">
      <c r="A85" s="58">
        <v>45300</v>
      </c>
      <c r="B85">
        <v>66.59</v>
      </c>
      <c r="C85" s="34">
        <f t="shared" si="2"/>
        <v>-9.9161255411255422E-2</v>
      </c>
      <c r="E85" s="58">
        <v>45300</v>
      </c>
      <c r="F85" s="33">
        <v>82365.77</v>
      </c>
      <c r="G85" s="34">
        <f t="shared" si="3"/>
        <v>1.4557560837471284E-2</v>
      </c>
    </row>
    <row r="86" spans="1:7">
      <c r="A86" s="58" t="s">
        <v>341</v>
      </c>
      <c r="B86">
        <v>76.91</v>
      </c>
      <c r="C86" s="34">
        <f t="shared" si="2"/>
        <v>0.15497822495870239</v>
      </c>
      <c r="E86" t="s">
        <v>341</v>
      </c>
      <c r="F86" s="33">
        <v>81086.210000000006</v>
      </c>
      <c r="G86" s="34">
        <f t="shared" si="3"/>
        <v>-1.5535094250924808E-2</v>
      </c>
    </row>
    <row r="87" spans="1:7">
      <c r="A87" s="58" t="s">
        <v>343</v>
      </c>
      <c r="B87">
        <v>81.760000000000005</v>
      </c>
      <c r="C87" s="34">
        <f t="shared" si="2"/>
        <v>6.3060720322454911E-2</v>
      </c>
      <c r="E87" t="s">
        <v>343</v>
      </c>
      <c r="F87" s="33">
        <v>80436.84</v>
      </c>
      <c r="G87" s="34">
        <f t="shared" si="3"/>
        <v>-8.0083900826047882E-3</v>
      </c>
    </row>
    <row r="88" spans="1:7">
      <c r="A88" s="58">
        <v>45604</v>
      </c>
      <c r="B88">
        <v>56.24</v>
      </c>
      <c r="C88" s="34">
        <f t="shared" si="2"/>
        <v>-0.31213307240704502</v>
      </c>
      <c r="E88" s="58">
        <v>45604</v>
      </c>
      <c r="F88" s="33">
        <v>79705.91</v>
      </c>
      <c r="G88" s="34">
        <f t="shared" si="3"/>
        <v>-9.0870054069751571E-3</v>
      </c>
    </row>
    <row r="89" spans="1:7">
      <c r="A89" s="58">
        <v>45390</v>
      </c>
      <c r="B89">
        <v>55.21</v>
      </c>
      <c r="C89" s="34">
        <f t="shared" si="2"/>
        <v>-1.831436699857758E-2</v>
      </c>
      <c r="E89" s="58">
        <v>45390</v>
      </c>
      <c r="F89" s="33">
        <v>80981.95</v>
      </c>
      <c r="G89" s="34">
        <f t="shared" si="3"/>
        <v>1.6009352380519815E-2</v>
      </c>
    </row>
    <row r="90" spans="1:7">
      <c r="A90" s="58" t="s">
        <v>347</v>
      </c>
      <c r="B90">
        <v>54.11</v>
      </c>
      <c r="C90" s="34">
        <f t="shared" si="2"/>
        <v>-1.9923926824850557E-2</v>
      </c>
      <c r="E90" t="s">
        <v>347</v>
      </c>
      <c r="F90" s="33">
        <v>81332.72</v>
      </c>
      <c r="G90" s="34">
        <f t="shared" si="3"/>
        <v>4.3314590473557679E-3</v>
      </c>
    </row>
    <row r="91" spans="1:7">
      <c r="A91" s="58" t="s">
        <v>349</v>
      </c>
      <c r="B91">
        <v>55.87</v>
      </c>
      <c r="C91" s="34">
        <f t="shared" si="2"/>
        <v>3.2526335243023397E-2</v>
      </c>
      <c r="E91" t="s">
        <v>349</v>
      </c>
      <c r="F91" s="33">
        <v>80604.649999999994</v>
      </c>
      <c r="G91" s="34">
        <f t="shared" si="3"/>
        <v>-8.9517478328525746E-3</v>
      </c>
    </row>
    <row r="92" spans="1:7">
      <c r="A92" s="58" t="s">
        <v>351</v>
      </c>
      <c r="B92">
        <v>55.5</v>
      </c>
      <c r="C92" s="34">
        <f t="shared" si="2"/>
        <v>-6.6225165562913135E-3</v>
      </c>
      <c r="E92" t="s">
        <v>351</v>
      </c>
      <c r="F92" s="33">
        <v>80519.34</v>
      </c>
      <c r="G92" s="34">
        <f t="shared" si="3"/>
        <v>-1.0583756644312325E-3</v>
      </c>
    </row>
    <row r="93" spans="1:7">
      <c r="A93" s="58">
        <v>45480</v>
      </c>
      <c r="B93">
        <v>57.17</v>
      </c>
      <c r="C93" s="34">
        <f t="shared" si="2"/>
        <v>3.0090090090090227E-2</v>
      </c>
      <c r="E93" s="58">
        <v>45480</v>
      </c>
      <c r="F93" s="33">
        <v>79996.600000000006</v>
      </c>
      <c r="G93" s="34">
        <f t="shared" si="3"/>
        <v>-6.4921048781571011E-3</v>
      </c>
    </row>
    <row r="94" spans="1:7">
      <c r="A94" s="58" t="s">
        <v>354</v>
      </c>
      <c r="B94">
        <v>57.78</v>
      </c>
      <c r="C94" s="34">
        <f t="shared" si="2"/>
        <v>1.0669931782403275E-2</v>
      </c>
      <c r="E94" t="s">
        <v>354</v>
      </c>
      <c r="F94" s="33">
        <v>79032.73</v>
      </c>
      <c r="G94" s="34">
        <f t="shared" si="3"/>
        <v>-1.2048887077700909E-2</v>
      </c>
    </row>
    <row r="95" spans="1:7">
      <c r="A95" s="58" t="s">
        <v>356</v>
      </c>
      <c r="B95">
        <v>55.91</v>
      </c>
      <c r="C95" s="34">
        <f t="shared" si="2"/>
        <v>-3.2364139840775463E-2</v>
      </c>
      <c r="E95" t="s">
        <v>356</v>
      </c>
      <c r="F95" s="33">
        <v>77209.899999999994</v>
      </c>
      <c r="G95" s="34">
        <f t="shared" si="3"/>
        <v>-2.3064241865363933E-2</v>
      </c>
    </row>
    <row r="96" spans="1:7">
      <c r="A96" s="58" t="s">
        <v>358</v>
      </c>
      <c r="B96">
        <v>58.88</v>
      </c>
      <c r="C96" s="34">
        <f t="shared" si="2"/>
        <v>5.3121087461992511E-2</v>
      </c>
      <c r="E96" t="s">
        <v>358</v>
      </c>
      <c r="F96" s="33">
        <v>76992.77</v>
      </c>
      <c r="G96" s="34">
        <f t="shared" si="3"/>
        <v>-2.8122041344437188E-3</v>
      </c>
    </row>
    <row r="97" spans="1:7">
      <c r="A97" s="58">
        <v>45541</v>
      </c>
      <c r="B97">
        <v>58.06</v>
      </c>
      <c r="C97" s="34">
        <f t="shared" si="2"/>
        <v>-1.3926630434782594E-2</v>
      </c>
      <c r="E97" s="58">
        <v>45541</v>
      </c>
      <c r="F97" s="33">
        <v>76693.36</v>
      </c>
      <c r="G97" s="34">
        <f t="shared" si="3"/>
        <v>-3.8888067022397887E-3</v>
      </c>
    </row>
    <row r="98" spans="1:7">
      <c r="A98" s="58">
        <v>45328</v>
      </c>
      <c r="B98">
        <v>58.46</v>
      </c>
      <c r="C98" s="34">
        <f t="shared" si="2"/>
        <v>6.8894247330346658E-3</v>
      </c>
      <c r="E98" s="58">
        <v>45328</v>
      </c>
      <c r="F98" s="33">
        <v>73961.31</v>
      </c>
      <c r="G98" s="34">
        <f t="shared" si="3"/>
        <v>-3.5623031772242131E-2</v>
      </c>
    </row>
    <row r="99" spans="1:7">
      <c r="A99" s="58" t="s">
        <v>362</v>
      </c>
      <c r="B99">
        <v>58.21</v>
      </c>
      <c r="C99" s="34">
        <f t="shared" si="2"/>
        <v>-4.2764283270612102E-3</v>
      </c>
      <c r="E99" t="s">
        <v>362</v>
      </c>
      <c r="F99" s="33">
        <v>75410.39</v>
      </c>
      <c r="G99" s="34">
        <f t="shared" si="3"/>
        <v>1.959240581325572E-2</v>
      </c>
    </row>
    <row r="100" spans="1:7">
      <c r="A100" s="58" t="s">
        <v>364</v>
      </c>
      <c r="B100">
        <v>68.099999999999994</v>
      </c>
      <c r="C100" s="34">
        <f t="shared" si="2"/>
        <v>0.16990207868063889</v>
      </c>
      <c r="E100" t="s">
        <v>364</v>
      </c>
      <c r="F100" s="33">
        <v>74005.94</v>
      </c>
      <c r="G100" s="34">
        <f t="shared" si="3"/>
        <v>-1.8624091454771619E-2</v>
      </c>
    </row>
    <row r="101" spans="1:7">
      <c r="A101" s="58">
        <v>45631</v>
      </c>
      <c r="B101">
        <v>69.95</v>
      </c>
      <c r="C101" s="34">
        <f t="shared" si="2"/>
        <v>2.7165932452276165E-2</v>
      </c>
      <c r="E101" s="58">
        <v>45631</v>
      </c>
      <c r="F101" s="33">
        <v>72664.47</v>
      </c>
      <c r="G101" s="34">
        <f t="shared" si="3"/>
        <v>-1.8126517952477883E-2</v>
      </c>
    </row>
    <row r="102" spans="1:7">
      <c r="A102" s="58">
        <v>45417</v>
      </c>
      <c r="B102">
        <v>71</v>
      </c>
      <c r="C102" s="34">
        <f t="shared" si="2"/>
        <v>1.5010721944245908E-2</v>
      </c>
      <c r="E102" s="58">
        <v>45417</v>
      </c>
      <c r="F102" s="33">
        <v>73878.149999999994</v>
      </c>
      <c r="G102" s="34">
        <f t="shared" si="3"/>
        <v>1.6702523255175405E-2</v>
      </c>
    </row>
    <row r="103" spans="1:7">
      <c r="A103" s="58" t="s">
        <v>368</v>
      </c>
      <c r="B103">
        <v>67.599999999999994</v>
      </c>
      <c r="C103" s="34">
        <f t="shared" si="2"/>
        <v>-4.7887323943662019E-2</v>
      </c>
      <c r="E103" t="s">
        <v>368</v>
      </c>
      <c r="F103" s="33">
        <v>73730.16</v>
      </c>
      <c r="G103" s="34">
        <f t="shared" si="3"/>
        <v>-2.0031633168939855E-3</v>
      </c>
    </row>
    <row r="104" spans="1:7">
      <c r="A104" s="58" t="s">
        <v>370</v>
      </c>
      <c r="B104">
        <v>70.5</v>
      </c>
      <c r="C104" s="34">
        <f t="shared" si="2"/>
        <v>4.2899408284023721E-2</v>
      </c>
      <c r="E104" t="s">
        <v>370</v>
      </c>
      <c r="F104" s="33">
        <v>73088.33</v>
      </c>
      <c r="G104" s="34">
        <f t="shared" si="3"/>
        <v>-8.7051214862412518E-3</v>
      </c>
    </row>
    <row r="105" spans="1:7">
      <c r="A105" s="58" t="s">
        <v>372</v>
      </c>
      <c r="B105">
        <v>73.2</v>
      </c>
      <c r="C105" s="34">
        <f t="shared" si="2"/>
        <v>3.8297872340425476E-2</v>
      </c>
      <c r="E105" t="s">
        <v>372</v>
      </c>
      <c r="F105" s="33">
        <v>74244.899999999994</v>
      </c>
      <c r="G105" s="34">
        <f t="shared" si="3"/>
        <v>1.5824277282022958E-2</v>
      </c>
    </row>
    <row r="106" spans="1:7">
      <c r="A106" s="58">
        <v>45477</v>
      </c>
      <c r="B106">
        <v>73.290000000000006</v>
      </c>
      <c r="C106" s="34">
        <f t="shared" si="2"/>
        <v>1.2295081967212962E-3</v>
      </c>
      <c r="E106" s="58">
        <v>45477</v>
      </c>
      <c r="F106" s="33">
        <v>74248.22</v>
      </c>
      <c r="G106" s="34">
        <f t="shared" si="3"/>
        <v>4.4716876176131848E-5</v>
      </c>
    </row>
    <row r="107" spans="1:7">
      <c r="A107" s="58" t="s">
        <v>375</v>
      </c>
      <c r="B107">
        <v>72.650000000000006</v>
      </c>
      <c r="C107" s="34">
        <f t="shared" si="2"/>
        <v>-8.7324328012007291E-3</v>
      </c>
      <c r="E107" t="s">
        <v>375</v>
      </c>
      <c r="F107" s="33">
        <v>73651.350000000006</v>
      </c>
      <c r="G107" s="34">
        <f t="shared" si="3"/>
        <v>-8.0388459144205004E-3</v>
      </c>
    </row>
    <row r="108" spans="1:7">
      <c r="A108" s="58" t="s">
        <v>377</v>
      </c>
      <c r="B108">
        <v>64.010000000000005</v>
      </c>
      <c r="C108" s="34">
        <f t="shared" si="2"/>
        <v>-0.11892635925671025</v>
      </c>
      <c r="E108" t="s">
        <v>377</v>
      </c>
      <c r="F108" s="33">
        <v>72831.94</v>
      </c>
      <c r="G108" s="34">
        <f t="shared" si="3"/>
        <v>-1.1125525872913489E-2</v>
      </c>
    </row>
    <row r="109" spans="1:7">
      <c r="A109" s="58" t="s">
        <v>379</v>
      </c>
      <c r="B109">
        <v>67.7</v>
      </c>
      <c r="C109" s="34">
        <f t="shared" si="2"/>
        <v>5.7647242618340755E-2</v>
      </c>
      <c r="E109" t="s">
        <v>379</v>
      </c>
      <c r="F109" s="33">
        <v>72643.429999999993</v>
      </c>
      <c r="G109" s="34">
        <f t="shared" si="3"/>
        <v>-2.5882875013354401E-3</v>
      </c>
    </row>
    <row r="110" spans="1:7">
      <c r="A110" s="58">
        <v>45568</v>
      </c>
      <c r="B110">
        <v>66.930000000000007</v>
      </c>
      <c r="C110" s="34">
        <f t="shared" si="2"/>
        <v>-1.1373707533234856E-2</v>
      </c>
      <c r="E110" s="58">
        <v>45568</v>
      </c>
      <c r="F110" s="33">
        <v>74119.39</v>
      </c>
      <c r="G110" s="34">
        <f t="shared" si="3"/>
        <v>2.0317873206152415E-2</v>
      </c>
    </row>
    <row r="111" spans="1:7">
      <c r="A111" s="58">
        <v>45354</v>
      </c>
      <c r="B111">
        <v>66.28</v>
      </c>
      <c r="C111" s="34">
        <f t="shared" si="2"/>
        <v>-9.7116390258480401E-3</v>
      </c>
      <c r="E111" s="58">
        <v>45354</v>
      </c>
      <c r="F111" s="33">
        <v>73806.149999999994</v>
      </c>
      <c r="G111" s="34">
        <f t="shared" si="3"/>
        <v>-4.2261545865394101E-3</v>
      </c>
    </row>
    <row r="112" spans="1:7">
      <c r="A112" s="58" t="s">
        <v>383</v>
      </c>
      <c r="B112">
        <v>76.849999999999994</v>
      </c>
      <c r="C112" s="34">
        <f t="shared" si="2"/>
        <v>0.15947495473747719</v>
      </c>
      <c r="E112" t="s">
        <v>383</v>
      </c>
      <c r="F112" s="33">
        <v>73142.8</v>
      </c>
      <c r="G112" s="34">
        <f t="shared" si="3"/>
        <v>-8.987733407039844E-3</v>
      </c>
    </row>
    <row r="113" spans="1:7">
      <c r="A113" s="58" t="s">
        <v>385</v>
      </c>
      <c r="B113">
        <v>92.72</v>
      </c>
      <c r="C113" s="34">
        <f t="shared" si="2"/>
        <v>0.20650618087182826</v>
      </c>
      <c r="E113" t="s">
        <v>385</v>
      </c>
      <c r="F113" s="33">
        <v>72426.64</v>
      </c>
      <c r="G113" s="34">
        <f t="shared" si="3"/>
        <v>-9.7912576494201264E-3</v>
      </c>
    </row>
    <row r="114" spans="1:7">
      <c r="A114" s="58">
        <v>45598</v>
      </c>
      <c r="B114">
        <v>69.84</v>
      </c>
      <c r="C114" s="34">
        <f t="shared" si="2"/>
        <v>-0.2467644521138912</v>
      </c>
      <c r="E114" s="58">
        <v>45598</v>
      </c>
      <c r="F114" s="33">
        <v>71595.490000000005</v>
      </c>
      <c r="G114" s="34">
        <f t="shared" si="3"/>
        <v>-1.1475749806977076E-2</v>
      </c>
    </row>
    <row r="115" spans="1:7">
      <c r="A115" s="58">
        <v>45384</v>
      </c>
      <c r="B115">
        <v>48.37</v>
      </c>
      <c r="C115" s="34">
        <f t="shared" si="2"/>
        <v>-0.30741695303550975</v>
      </c>
      <c r="E115" s="58">
        <v>45384</v>
      </c>
      <c r="F115" s="33">
        <v>72085.63</v>
      </c>
      <c r="G115" s="34">
        <f t="shared" si="3"/>
        <v>6.8459619453682397E-3</v>
      </c>
    </row>
    <row r="116" spans="1:7">
      <c r="A116" s="58" t="s">
        <v>388</v>
      </c>
      <c r="B116">
        <v>48.17</v>
      </c>
      <c r="C116" s="34">
        <f t="shared" si="2"/>
        <v>-4.134794293983779E-3</v>
      </c>
      <c r="E116" t="s">
        <v>388</v>
      </c>
      <c r="F116" s="33">
        <v>70700.67</v>
      </c>
      <c r="G116" s="34">
        <f t="shared" si="3"/>
        <v>-1.9212705777836847E-2</v>
      </c>
    </row>
    <row r="117" spans="1:7">
      <c r="A117" s="58" t="s">
        <v>390</v>
      </c>
      <c r="B117">
        <v>48.39</v>
      </c>
      <c r="C117" s="34">
        <f t="shared" si="2"/>
        <v>4.5671579821464636E-3</v>
      </c>
      <c r="E117" t="s">
        <v>390</v>
      </c>
      <c r="F117" s="33">
        <v>71423.649999999994</v>
      </c>
      <c r="G117" s="34">
        <f t="shared" si="3"/>
        <v>1.0225928552020758E-2</v>
      </c>
    </row>
    <row r="118" spans="1:7">
      <c r="A118" s="58" t="s">
        <v>392</v>
      </c>
      <c r="B118">
        <v>46.22</v>
      </c>
      <c r="C118" s="34">
        <f t="shared" si="2"/>
        <v>-4.484397602810497E-2</v>
      </c>
      <c r="E118" t="s">
        <v>392</v>
      </c>
      <c r="F118" s="33">
        <v>72568.45</v>
      </c>
      <c r="G118" s="34">
        <f t="shared" si="3"/>
        <v>1.6028304350169664E-2</v>
      </c>
    </row>
    <row r="119" spans="1:7">
      <c r="A119" s="58">
        <v>45474</v>
      </c>
      <c r="B119">
        <v>46.65</v>
      </c>
      <c r="C119" s="34">
        <f t="shared" si="2"/>
        <v>9.3033318909563345E-3</v>
      </c>
      <c r="E119" s="58">
        <v>45474</v>
      </c>
      <c r="F119" s="33">
        <v>72026.149999999994</v>
      </c>
      <c r="G119" s="34">
        <f t="shared" si="3"/>
        <v>-7.4729445096319846E-3</v>
      </c>
    </row>
  </sheetData>
  <mergeCells count="5">
    <mergeCell ref="A7:D7"/>
    <mergeCell ref="A9:C9"/>
    <mergeCell ref="E9:G9"/>
    <mergeCell ref="A1:N6"/>
    <mergeCell ref="I12:J12"/>
  </mergeCells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comps -raw</vt:lpstr>
      <vt:lpstr>dccf</vt:lpstr>
      <vt:lpstr>market return</vt:lpstr>
      <vt:lpstr>sp j corporation</vt:lpstr>
      <vt:lpstr>Guru BETA</vt:lpstr>
      <vt:lpstr>Mishka Exim Ltd</vt:lpstr>
      <vt:lpstr>Moksh BETA</vt:lpstr>
      <vt:lpstr>beta sj corpoation</vt:lpstr>
      <vt:lpstr>Narbada beta</vt:lpstr>
      <vt:lpstr>dccf!Print_Area</vt:lpstr>
      <vt:lpstr>dccf!Print_Titles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THAKUR</dc:creator>
  <cp:lastModifiedBy>prashant THAKUR</cp:lastModifiedBy>
  <cp:lastPrinted>2026-03-28T10:35:44Z</cp:lastPrinted>
  <dcterms:created xsi:type="dcterms:W3CDTF">2026-02-02T16:55:33Z</dcterms:created>
  <dcterms:modified xsi:type="dcterms:W3CDTF">2026-04-11T06:00:07Z</dcterms:modified>
</cp:coreProperties>
</file>