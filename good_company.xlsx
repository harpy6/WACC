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mc:AlternateContent xmlns:mc="http://schemas.openxmlformats.org/markup-compatibility/2006">
    <mc:Choice Requires="x15">
      <x15ac:absPath xmlns:x15ac="http://schemas.microsoft.com/office/spreadsheetml/2010/11/ac" url="D:\CORPOATE FI\"/>
    </mc:Choice>
  </mc:AlternateContent>
  <xr:revisionPtr revIDLastSave="0" documentId="13_ncr:1_{9A53231E-C45F-4F0B-9E46-E37D10C294A8}" xr6:coauthVersionLast="47" xr6:coauthVersionMax="47" xr10:uidLastSave="{00000000-0000-0000-0000-000000000000}"/>
  <bookViews>
    <workbookView xWindow="-108" yWindow="-108" windowWidth="23256" windowHeight="12456" tabRatio="500" firstSheet="4" activeTab="6" xr2:uid="{00000000-000D-0000-FFFF-FFFF00000000}"/>
  </bookViews>
  <sheets>
    <sheet name="Standalone Balance Sheet" sheetId="1" r:id="rId1"/>
    <sheet name="Standalone Income Statement" sheetId="2" r:id="rId2"/>
    <sheet name="Consolidated Balance Sheet" sheetId="3" r:id="rId3"/>
    <sheet name="Consolidated Income Statement" sheetId="4" r:id="rId4"/>
    <sheet name="Cash Flow Statment" sheetId="6" r:id="rId5"/>
    <sheet name="WACC" sheetId="5" r:id="rId6"/>
    <sheet name="Working Capital Management" sheetId="8" r:id="rId7"/>
  </sheets>
  <definedNames>
    <definedName name="_xlnm._FilterDatabase" localSheetId="5" hidden="1">WACC!$B$21:$J$38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8" i="8" l="1"/>
  <c r="D7" i="8" l="1"/>
  <c r="D15" i="8" s="1"/>
  <c r="C7" i="8"/>
  <c r="C15" i="8" s="1"/>
  <c r="D18" i="8"/>
  <c r="D14" i="8"/>
  <c r="D13" i="8"/>
  <c r="C14" i="8"/>
  <c r="C13" i="8"/>
  <c r="E4" i="8"/>
  <c r="D11" i="8" l="1"/>
  <c r="C11" i="8"/>
  <c r="D10" i="8"/>
  <c r="C10" i="8"/>
  <c r="D6" i="8"/>
  <c r="C6" i="8"/>
  <c r="D9" i="8"/>
  <c r="C9" i="8"/>
  <c r="C8" i="8"/>
  <c r="D8" i="8"/>
  <c r="E12" i="5" l="1"/>
  <c r="P23" i="5" s="1"/>
  <c r="D12" i="5"/>
  <c r="M23" i="5" l="1"/>
  <c r="M24" i="5"/>
  <c r="C38" i="5" l="1"/>
  <c r="C39" i="5" s="1"/>
  <c r="I12" i="5" s="1"/>
  <c r="N11" i="5" s="1"/>
  <c r="F31" i="5"/>
  <c r="F34" i="5"/>
  <c r="F23" i="5"/>
  <c r="F24" i="5"/>
  <c r="F25" i="5"/>
  <c r="F26" i="5"/>
  <c r="F27" i="5"/>
  <c r="F28" i="5"/>
  <c r="F29" i="5"/>
  <c r="F30" i="5"/>
  <c r="M25" i="5"/>
  <c r="J12" i="5" s="1"/>
  <c r="N13" i="5" l="1"/>
  <c r="F33" i="5"/>
  <c r="F35" i="5"/>
  <c r="H12" i="5"/>
  <c r="G12" i="5"/>
  <c r="N12" i="5" s="1"/>
  <c r="D14" i="5"/>
  <c r="N14" i="5" l="1"/>
  <c r="N15" i="5" s="1"/>
  <c r="C44" i="4" l="1"/>
  <c r="B44" i="4"/>
  <c r="C30" i="4"/>
  <c r="B30" i="4"/>
  <c r="C18" i="4"/>
  <c r="B18" i="4"/>
  <c r="C7" i="4"/>
  <c r="C20" i="4" s="1"/>
  <c r="C22" i="4" s="1"/>
  <c r="C24" i="4" s="1"/>
  <c r="C32" i="4" s="1"/>
  <c r="C46" i="4" s="1"/>
  <c r="B7" i="4"/>
  <c r="B20" i="4" s="1"/>
  <c r="B22" i="4" s="1"/>
  <c r="B24" i="4" s="1"/>
  <c r="B32" i="4" s="1"/>
  <c r="B46" i="4" s="1"/>
  <c r="C63" i="3"/>
  <c r="B63" i="3"/>
  <c r="C51" i="3"/>
  <c r="C64" i="3" s="1"/>
  <c r="B51" i="3"/>
  <c r="B64" i="3" s="1"/>
  <c r="C42" i="3"/>
  <c r="C65" i="3" s="1"/>
  <c r="B42" i="3"/>
  <c r="B65" i="3" s="1"/>
  <c r="C34" i="3"/>
  <c r="B34" i="3"/>
  <c r="C21" i="3"/>
  <c r="C35" i="3" s="1"/>
  <c r="B21" i="3"/>
  <c r="B35" i="3" s="1"/>
  <c r="C37" i="2"/>
  <c r="B37" i="2"/>
  <c r="C28" i="2"/>
  <c r="B28" i="2"/>
  <c r="C18" i="2"/>
  <c r="B18" i="2"/>
  <c r="C7" i="2"/>
  <c r="C20" i="2" s="1"/>
  <c r="C22" i="2" s="1"/>
  <c r="C30" i="2" s="1"/>
  <c r="C39" i="2" s="1"/>
  <c r="B7" i="2"/>
  <c r="B20" i="2" s="1"/>
  <c r="B22" i="2" s="1"/>
  <c r="B30" i="2" s="1"/>
  <c r="B39" i="2" s="1"/>
  <c r="C58" i="1"/>
  <c r="B58" i="1"/>
  <c r="C46" i="1"/>
  <c r="C59" i="1" s="1"/>
  <c r="B46" i="1"/>
  <c r="B59" i="1" s="1"/>
  <c r="C37" i="1"/>
  <c r="B37" i="1"/>
  <c r="B60" i="1" s="1"/>
  <c r="C30" i="1"/>
  <c r="B30" i="1"/>
  <c r="C19" i="1"/>
  <c r="C31" i="1" s="1"/>
  <c r="B19" i="1"/>
  <c r="B31" i="1" s="1"/>
  <c r="C60" i="1" l="1"/>
</calcChain>
</file>

<file path=xl/sharedStrings.xml><?xml version="1.0" encoding="utf-8"?>
<sst xmlns="http://schemas.openxmlformats.org/spreadsheetml/2006/main" count="462" uniqueCount="288">
  <si>
    <t>JSW STEEL LIMITED – STANDALONE BALANCE SHEET</t>
  </si>
  <si>
    <t>As at 31 March 2025  |  (₹ in Crores)</t>
  </si>
  <si>
    <t>Particulars</t>
  </si>
  <si>
    <t>FY 2024-25</t>
  </si>
  <si>
    <t>FY 2023-24</t>
  </si>
  <si>
    <t>I.  ASSETS</t>
  </si>
  <si>
    <t>Non-Current Assets</t>
  </si>
  <si>
    <t xml:space="preserve">  Property, Plant &amp; Equipment</t>
  </si>
  <si>
    <t xml:space="preserve">  Capital Work-in-Progress</t>
  </si>
  <si>
    <t xml:space="preserve">  Right-of-Use Assets</t>
  </si>
  <si>
    <t xml:space="preserve">  Goodwill</t>
  </si>
  <si>
    <t xml:space="preserve">  Intangible Assets</t>
  </si>
  <si>
    <t xml:space="preserve">  Intangible Assets under Development</t>
  </si>
  <si>
    <t xml:space="preserve">  Investments in Subsidiaries, Associates &amp; JVs</t>
  </si>
  <si>
    <t xml:space="preserve">  Investments (Non-current)</t>
  </si>
  <si>
    <t xml:space="preserve">  Loans (Non-current)</t>
  </si>
  <si>
    <t xml:space="preserve">  Derivative Assets (Non-current)</t>
  </si>
  <si>
    <t xml:space="preserve">  Other Financial Assets (Non-current)</t>
  </si>
  <si>
    <t xml:space="preserve">  Current Tax Assets (Net)</t>
  </si>
  <si>
    <t xml:space="preserve">  Other Non-Current Assets</t>
  </si>
  <si>
    <t>Total Non-Current Assets</t>
  </si>
  <si>
    <t>Current Assets</t>
  </si>
  <si>
    <t xml:space="preserve">  Inventories</t>
  </si>
  <si>
    <t xml:space="preserve">  Investments (Current)</t>
  </si>
  <si>
    <t xml:space="preserve">  Trade Receivables</t>
  </si>
  <si>
    <t xml:space="preserve">  Cash &amp; Cash Equivalents</t>
  </si>
  <si>
    <t xml:space="preserve">  Bank Balances (other than above)</t>
  </si>
  <si>
    <t xml:space="preserve">  Loans (Current)</t>
  </si>
  <si>
    <t xml:space="preserve">  Derivative Assets (Current)</t>
  </si>
  <si>
    <t xml:space="preserve">  Other Financial Assets (Current)</t>
  </si>
  <si>
    <t xml:space="preserve">  Other Current Assets</t>
  </si>
  <si>
    <t>Total Current Assets</t>
  </si>
  <si>
    <t>TOTAL ASSETS</t>
  </si>
  <si>
    <t>II.  EQUITY AND LIABILITIES</t>
  </si>
  <si>
    <t>Equity</t>
  </si>
  <si>
    <t xml:space="preserve">  Equity Share Capital</t>
  </si>
  <si>
    <t xml:space="preserve">  Other Equity</t>
  </si>
  <si>
    <t>Total Equity</t>
  </si>
  <si>
    <t>Non-Current Liabilities</t>
  </si>
  <si>
    <t xml:space="preserve">  Borrowings (Non-current)</t>
  </si>
  <si>
    <t xml:space="preserve">  Lease Liabilities (Non-current)</t>
  </si>
  <si>
    <t xml:space="preserve">  Derivative Liabilities (Non-current)</t>
  </si>
  <si>
    <t xml:space="preserve">  Other Financial Liabilities (Non-current)</t>
  </si>
  <si>
    <t xml:space="preserve">  Provisions (Non-current)</t>
  </si>
  <si>
    <t xml:space="preserve">  Deferred Tax Liabilities (Net)</t>
  </si>
  <si>
    <t xml:space="preserve">  Other Non-Current Liabilities</t>
  </si>
  <si>
    <t>Total Non-Current Liabilities</t>
  </si>
  <si>
    <t>Current Liabilities</t>
  </si>
  <si>
    <t xml:space="preserve">  Borrowings (Current)</t>
  </si>
  <si>
    <t xml:space="preserve">  Lease Liabilities (Current)</t>
  </si>
  <si>
    <t xml:space="preserve">  Acceptances</t>
  </si>
  <si>
    <t xml:space="preserve">  Trade Payables – MSME</t>
  </si>
  <si>
    <t xml:space="preserve">  Trade Payables – Others</t>
  </si>
  <si>
    <t xml:space="preserve">  Derivative Liabilities (Current)</t>
  </si>
  <si>
    <t xml:space="preserve">  Other Financial Liabilities (Current)</t>
  </si>
  <si>
    <t xml:space="preserve">  Provisions (Current)</t>
  </si>
  <si>
    <t xml:space="preserve">  Other Current Liabilities</t>
  </si>
  <si>
    <t xml:space="preserve">  Current Tax Liabilities (Net)</t>
  </si>
  <si>
    <t>Total Current Liabilities</t>
  </si>
  <si>
    <t>Total Liabilities</t>
  </si>
  <si>
    <t>TOTAL EQUITY AND LIABILITIES</t>
  </si>
  <si>
    <t>Source: JSW Steel Limited – Integrated Annual Report FY 2024-25, Page 219 (Standalone Financial Statements)</t>
  </si>
  <si>
    <t>JSW STEEL LIMITED – STANDALONE STATEMENT OF PROFIT &amp; LOSS</t>
  </si>
  <si>
    <t>For the Year Ended 31 March 2025  |  (₹ in Crores)</t>
  </si>
  <si>
    <t>INCOME</t>
  </si>
  <si>
    <t xml:space="preserve">  Revenue from Operations</t>
  </si>
  <si>
    <t xml:space="preserve">  Other Income</t>
  </si>
  <si>
    <t>III.  Total Income</t>
  </si>
  <si>
    <t>EXPENSES</t>
  </si>
  <si>
    <t xml:space="preserve">  Cost of Materials Consumed</t>
  </si>
  <si>
    <t xml:space="preserve">  Purchases of Stock-in-Trade</t>
  </si>
  <si>
    <t xml:space="preserve">  Changes in Inventories of FG, WIP &amp; Stock-in-Trade</t>
  </si>
  <si>
    <t xml:space="preserve">  Mining Premium and Royalties</t>
  </si>
  <si>
    <t xml:space="preserve">  Employee Benefits Expense</t>
  </si>
  <si>
    <t xml:space="preserve">  Finance Costs</t>
  </si>
  <si>
    <t xml:space="preserve">  Depreciation &amp; Amortisation Expense</t>
  </si>
  <si>
    <t xml:space="preserve">  Other Expenses</t>
  </si>
  <si>
    <t>IV.  Total Expenses</t>
  </si>
  <si>
    <t>V.  Profit Before Exceptional Items &amp; Tax</t>
  </si>
  <si>
    <t>VI.  Exceptional Items</t>
  </si>
  <si>
    <t>VII.  Profit Before Tax (PBT)</t>
  </si>
  <si>
    <t>TAX EXPENSE</t>
  </si>
  <si>
    <t xml:space="preserve">  Current Tax</t>
  </si>
  <si>
    <t xml:space="preserve">  Deferred Tax</t>
  </si>
  <si>
    <t xml:space="preserve">  Tax Impact for Earlier Years</t>
  </si>
  <si>
    <t>VIII.  Total Tax Expense</t>
  </si>
  <si>
    <t>IX.  Profit for the Year (PAT)</t>
  </si>
  <si>
    <t>OTHER COMPREHENSIVE INCOME (OCI)</t>
  </si>
  <si>
    <t xml:space="preserve">  Re-measurements of Defined Benefit Plans</t>
  </si>
  <si>
    <t xml:space="preserve">  Equity Instruments through OCI</t>
  </si>
  <si>
    <t xml:space="preserve">  Effective Portion of Gains/(Loss) on Hedging Instruments</t>
  </si>
  <si>
    <t xml:space="preserve">  Income Tax on OCI Items</t>
  </si>
  <si>
    <t>X.  Total Other Comprehensive Income</t>
  </si>
  <si>
    <t>XI.  Total Comprehensive Income</t>
  </si>
  <si>
    <t>KEY RATIOS</t>
  </si>
  <si>
    <t xml:space="preserve">  Basic EPS (₹ per share of ₹1 each)</t>
  </si>
  <si>
    <t xml:space="preserve">  Diluted EPS (₹ per share of ₹1 each)</t>
  </si>
  <si>
    <t>JSW STEEL LIMITED – CONSOLIDATED BALANCE SHEET</t>
  </si>
  <si>
    <t xml:space="preserve">  Investment Property</t>
  </si>
  <si>
    <t xml:space="preserve">  Other Intangible Assets</t>
  </si>
  <si>
    <t xml:space="preserve">  Investments in JVs and Associates</t>
  </si>
  <si>
    <t xml:space="preserve">  Deferred Tax Assets</t>
  </si>
  <si>
    <t xml:space="preserve">  Current Tax Assets (Current)</t>
  </si>
  <si>
    <t xml:space="preserve">  Assets Held for Sale</t>
  </si>
  <si>
    <t xml:space="preserve">  Other Equity (attributable to owners)</t>
  </si>
  <si>
    <t xml:space="preserve">  Non-Controlling Interests (NCI)</t>
  </si>
  <si>
    <t>Source: JSW Steel Limited – Integrated Annual Report FY 2024-25, Page 277 (Consolidated Financial Statements)</t>
  </si>
  <si>
    <t>JSW STEEL LIMITED – CONSOLIDATED STATEMENT OF PROFIT &amp; LOSS</t>
  </si>
  <si>
    <t>I.  Revenue from Operations</t>
  </si>
  <si>
    <t>II.  Other Income</t>
  </si>
  <si>
    <t xml:space="preserve">  Finance Cost</t>
  </si>
  <si>
    <t>V.  Profit Before Share of JV/Associates, Exceptional Items &amp; Tax</t>
  </si>
  <si>
    <t>VI.  Share of Profit/(Loss) from JVs &amp; Associates (Net)</t>
  </si>
  <si>
    <t>VII.  Profit Before Exceptional Items &amp; Tax</t>
  </si>
  <si>
    <t>VIII.  Exceptional Items</t>
  </si>
  <si>
    <t>IX.  Profit Before Tax (PBT)</t>
  </si>
  <si>
    <t xml:space="preserve">  Tax Impact of Earlier Years</t>
  </si>
  <si>
    <t>X.  Total Tax Expense</t>
  </si>
  <si>
    <t>XI.  Net Profit for the Year (PAT)</t>
  </si>
  <si>
    <t>PROFIT ATTRIBUTION</t>
  </si>
  <si>
    <t xml:space="preserve">  Attributable to Owners of the Company</t>
  </si>
  <si>
    <t xml:space="preserve">  Attributable to Non-Controlling Interests</t>
  </si>
  <si>
    <t xml:space="preserve">  Remeasurement Gain/(Loss) – Defined Benefit Plans</t>
  </si>
  <si>
    <t xml:space="preserve">  Net Gain/(Loss) on Equity Instruments through OCI</t>
  </si>
  <si>
    <t xml:space="preserve">  Effective Portion of Gain/(Loss) on Hedging Instruments</t>
  </si>
  <si>
    <t xml:space="preserve">  Exchange Differences on Foreign Operations</t>
  </si>
  <si>
    <t>XII.  Total Other Comprehensive Income</t>
  </si>
  <si>
    <t>XIII.  Total Comprehensive Income</t>
  </si>
  <si>
    <t xml:space="preserve">  Basic EPS – Owners (₹ per share of ₹1 each)</t>
  </si>
  <si>
    <t xml:space="preserve">  Diluted EPS – Owners (₹ per share of ₹1 each)</t>
  </si>
  <si>
    <t>Wegithr Average Cost Of Capital</t>
  </si>
  <si>
    <t>All Figure are in INR  unless Stated Otherwise</t>
  </si>
  <si>
    <t>Debt/</t>
  </si>
  <si>
    <t>Name oF Company</t>
  </si>
  <si>
    <t>Country</t>
  </si>
  <si>
    <t>Total Debt</t>
  </si>
  <si>
    <r>
      <t>Tax Rate</t>
    </r>
    <r>
      <rPr>
        <vertAlign val="superscript"/>
        <sz val="11"/>
        <color theme="1"/>
        <rFont val="Calibri"/>
        <family val="2"/>
      </rPr>
      <t xml:space="preserve"> 1</t>
    </r>
  </si>
  <si>
    <t>Median</t>
  </si>
  <si>
    <t>JSW STEEL LIMITED</t>
  </si>
  <si>
    <t>Iindia</t>
  </si>
  <si>
    <t xml:space="preserve"> </t>
  </si>
  <si>
    <t>Equity /</t>
  </si>
  <si>
    <t>Weights</t>
  </si>
  <si>
    <t>Cost of</t>
  </si>
  <si>
    <t>Total Capital</t>
  </si>
  <si>
    <t>Announcement Date</t>
  </si>
  <si>
    <t>Ex-Dividend Date</t>
  </si>
  <si>
    <t>Dividend Type</t>
  </si>
  <si>
    <t>Dividend (Rs)</t>
  </si>
  <si>
    <t>23 May, 2025</t>
  </si>
  <si>
    <t>08 Jul, 2025</t>
  </si>
  <si>
    <t>Final</t>
  </si>
  <si>
    <t>21 May, 2024</t>
  </si>
  <si>
    <t>09 Jul, 2024</t>
  </si>
  <si>
    <t>22 May, 2023</t>
  </si>
  <si>
    <t>11 Jul, 2023</t>
  </si>
  <si>
    <t>27 May, 2022</t>
  </si>
  <si>
    <t>04 Jul, 2022</t>
  </si>
  <si>
    <t>21 May, 2021</t>
  </si>
  <si>
    <t>05 Jul, 2021</t>
  </si>
  <si>
    <t>22 May, 2020</t>
  </si>
  <si>
    <t>06 Jul, 2020</t>
  </si>
  <si>
    <t>24 May, 2019</t>
  </si>
  <si>
    <t>08 Jul, 2019</t>
  </si>
  <si>
    <t>16 May, 2018</t>
  </si>
  <si>
    <t>06 Jul, 2018</t>
  </si>
  <si>
    <t>18 May, 2017</t>
  </si>
  <si>
    <t>12 Jun, 2017</t>
  </si>
  <si>
    <t>18 May, 2016</t>
  </si>
  <si>
    <t>04 Jul, 2016</t>
  </si>
  <si>
    <t>Yearly Growth rate</t>
  </si>
  <si>
    <t xml:space="preserve">JSW STEEL LIMITED  Dividends </t>
  </si>
  <si>
    <t>Working Notes -No.1</t>
  </si>
  <si>
    <t>Avearge Growth</t>
  </si>
  <si>
    <t>CAGR</t>
  </si>
  <si>
    <t>Market Price</t>
  </si>
  <si>
    <t>Taken From Nse</t>
  </si>
  <si>
    <t>Working Note.1(a)</t>
  </si>
  <si>
    <r>
      <t>D</t>
    </r>
    <r>
      <rPr>
        <vertAlign val="subscript"/>
        <sz val="11"/>
        <color theme="1"/>
        <rFont val="Calibri"/>
        <family val="2"/>
      </rPr>
      <t>1</t>
    </r>
  </si>
  <si>
    <r>
      <t>K</t>
    </r>
    <r>
      <rPr>
        <vertAlign val="subscript"/>
        <sz val="11"/>
        <color theme="1"/>
        <rFont val="Calibri"/>
        <family val="2"/>
      </rPr>
      <t>e</t>
    </r>
  </si>
  <si>
    <t>Debt</t>
  </si>
  <si>
    <r>
      <t>Working Note No .2 K</t>
    </r>
    <r>
      <rPr>
        <vertAlign val="subscript"/>
        <sz val="11"/>
        <color theme="1"/>
        <rFont val="Calibri"/>
        <family val="2"/>
      </rPr>
      <t>d</t>
    </r>
  </si>
  <si>
    <t>Cost of Debt</t>
  </si>
  <si>
    <t>Pre-Tax Cost of Debt</t>
  </si>
  <si>
    <t>Tax</t>
  </si>
  <si>
    <t>After Tax Cost Debt</t>
  </si>
  <si>
    <t>Calculation oF Interest</t>
  </si>
  <si>
    <t>Interest</t>
  </si>
  <si>
    <t xml:space="preserve">Weighted Average Cost of Capital </t>
  </si>
  <si>
    <t>Cost of Equity</t>
  </si>
  <si>
    <t>Equity Weight</t>
  </si>
  <si>
    <t>Debt Weight</t>
  </si>
  <si>
    <t>WACC</t>
  </si>
  <si>
    <t>SOURCE:https://www.moneycontrol.com/company-facts/jswsteel/dividends/JSW01/</t>
  </si>
  <si>
    <r>
      <rPr>
        <i/>
        <u/>
        <sz val="11"/>
        <color theme="0" tint="-0.34998626667073579"/>
        <rFont val="Calibri"/>
        <family val="2"/>
        <charset val="1"/>
      </rPr>
      <t xml:space="preserve"> </t>
    </r>
    <r>
      <rPr>
        <i/>
        <u/>
        <sz val="9"/>
        <color theme="0" tint="-0.34998626667073579"/>
        <rFont val="Calibri"/>
        <family val="2"/>
        <charset val="1"/>
      </rPr>
      <t>SOURCE :htt</t>
    </r>
    <r>
      <rPr>
        <i/>
        <u/>
        <sz val="11"/>
        <color theme="0" tint="-0.34998626667073579"/>
        <rFont val="Calibri"/>
        <family val="2"/>
        <charset val="1"/>
      </rPr>
      <t>ps://www.nseindia.com/get-quote/equity/JSWSTEEL/JSW-Steel-Limited</t>
    </r>
  </si>
  <si>
    <t>Total Debt = Borrowings + Lease Liabilities</t>
  </si>
  <si>
    <t>CONSOLIDATED STATEMENT OF CASH FLOWS</t>
  </si>
  <si>
    <t>For the year ended 31 March 2025  |  (₹ in crores)  |  Prepared using Indirect Method as per Ind AS 7</t>
  </si>
  <si>
    <t>Sr No</t>
  </si>
  <si>
    <t>Section</t>
  </si>
  <si>
    <t>FY 2024-25 (₹ Cr)</t>
  </si>
  <si>
    <t>FY 2023-24 (₹ Cr)</t>
  </si>
  <si>
    <t>YoY Change (₹ Cr)</t>
  </si>
  <si>
    <t>A.  CASH FLOW FROM OPERATING ACTIVITIES</t>
  </si>
  <si>
    <t>A</t>
  </si>
  <si>
    <t>Profit before tax</t>
  </si>
  <si>
    <t>Adjustments for:</t>
  </si>
  <si>
    <t>Depreciation and amortisation expenses</t>
  </si>
  <si>
    <t>Loss on sale of property, plant and equipment (net)</t>
  </si>
  <si>
    <t>Gain on sale of financial investments designated as FVTPL</t>
  </si>
  <si>
    <t>Export obligation deferred income amortisation</t>
  </si>
  <si>
    <t>Interest income</t>
  </si>
  <si>
    <t>Dividend income</t>
  </si>
  <si>
    <t>Interest expense</t>
  </si>
  <si>
    <t>Unrealised exchange (gain) / loss (net)</t>
  </si>
  <si>
    <t>Gain on financial instruments designated as FVTPL</t>
  </si>
  <si>
    <t>Unwinding of interest on financial assets carried at amortised cost</t>
  </si>
  <si>
    <t>Share based payment expense</t>
  </si>
  <si>
    <t>Share of (profit) / loss from joint ventures and associates (net)</t>
  </si>
  <si>
    <t>Allowances for doubtful receivable and advances</t>
  </si>
  <si>
    <t>Exceptional items (refer note 48)</t>
  </si>
  <si>
    <t>Operating profit before working capital changes</t>
  </si>
  <si>
    <t>Decrease / (Increase) in inventories</t>
  </si>
  <si>
    <t>(Increase) in trade receivables</t>
  </si>
  <si>
    <t>(Increase) in other assets</t>
  </si>
  <si>
    <t>Increase / (Decrease) in acceptances</t>
  </si>
  <si>
    <t>(Decrease) / Increase in trade payable and other liabilities</t>
  </si>
  <si>
    <t>(Decrease) / Increase in provisions</t>
  </si>
  <si>
    <t>Cash flow from operations</t>
  </si>
  <si>
    <t>Income taxes paid (net of refund received)</t>
  </si>
  <si>
    <t>Net cashflow generated from operating activities (A)</t>
  </si>
  <si>
    <t>B.  CASH FLOW FROM INVESTING ACTIVITIES</t>
  </si>
  <si>
    <t>B</t>
  </si>
  <si>
    <t>Purchases of property, plant &amp; equipment and intangible assets (incl. under development and capital advances)</t>
  </si>
  <si>
    <t>Proceeds from sale of property, plant &amp; equipment and intangible asset</t>
  </si>
  <si>
    <t>Cash flow on acquisition / disposal of subsidiaries (Net)</t>
  </si>
  <si>
    <t>-</t>
  </si>
  <si>
    <t>Investment in joint ventures and associates</t>
  </si>
  <si>
    <t>Equity investment in other related parties / others</t>
  </si>
  <si>
    <t>Loans repaid by related parties</t>
  </si>
  <si>
    <t>Purchase of current investments</t>
  </si>
  <si>
    <t>Sale of current investments</t>
  </si>
  <si>
    <t>Bank deposits not considered as cash and cash equivalents (net)</t>
  </si>
  <si>
    <t>Interest received</t>
  </si>
  <si>
    <t>Dividend received</t>
  </si>
  <si>
    <t>Net cash used in investing activities (B)</t>
  </si>
  <si>
    <t>C.  CASH FLOW FROM FINANCING ACTIVITIES</t>
  </si>
  <si>
    <t>C</t>
  </si>
  <si>
    <t>Proceeds from sale of treasury shares</t>
  </si>
  <si>
    <t>Proceeds from non-current borrowings</t>
  </si>
  <si>
    <t>Repayment of non-current borrowings</t>
  </si>
  <si>
    <t>Proceeds from / (repayment of) current borrowings (net)</t>
  </si>
  <si>
    <t>Repayment of lease liabilities</t>
  </si>
  <si>
    <t>Interest paid</t>
  </si>
  <si>
    <t>Dividend paid (including corporate dividend tax)</t>
  </si>
  <si>
    <t>Proceeds from Sale and leaseback of an under construction asset (refer note 56)</t>
  </si>
  <si>
    <t>Net cash used in financing activities (C)</t>
  </si>
  <si>
    <t>D.  Net increase / (decrease) in cash and cash equivalents (A+B+C)</t>
  </si>
  <si>
    <t>Cash and cash equivalents at the beginning of year</t>
  </si>
  <si>
    <t>Add: Translation adjustment in cash and cash equivalents</t>
  </si>
  <si>
    <t>Add: Cash and cash equivalents pursuant to business combinations</t>
  </si>
  <si>
    <t>Cash and cash equivalents at the end of year</t>
  </si>
  <si>
    <t>@ Other comprises of upfront fees amortisation and interest cost accrual on deferred sales tax loan.</t>
  </si>
  <si>
    <t>The statement of cash flows is prepared using the "indirect method" as per Ind AS 7 – Statement of Cash Flows.</t>
  </si>
  <si>
    <t>Net cash used in investing activities excludes non-cash transactions such as fair valuation of investments, payable for capital projects.</t>
  </si>
  <si>
    <t>Source: JSW Steel Limited – Integrated Annual Report FY 2024-25</t>
  </si>
  <si>
    <t>Revenue from Operations</t>
  </si>
  <si>
    <t>COGS</t>
  </si>
  <si>
    <t xml:space="preserve">  Trade Payables </t>
  </si>
  <si>
    <t>Days Sales Outstanding (DSO)</t>
  </si>
  <si>
    <t>MONTH</t>
  </si>
  <si>
    <t>DAYS</t>
  </si>
  <si>
    <t>QTY</t>
  </si>
  <si>
    <t>Half-yearly</t>
  </si>
  <si>
    <t>Yearly</t>
  </si>
  <si>
    <t>Days Payable Outstanding (DPO)</t>
  </si>
  <si>
    <t>Inventory Turnover (Days)</t>
  </si>
  <si>
    <t>Calculate Working Capital</t>
  </si>
  <si>
    <t>Working Capital working Note no.1</t>
  </si>
  <si>
    <t>Working Capital = Current Assets – Current Liabilities</t>
  </si>
  <si>
    <t>Working Capital Management</t>
  </si>
  <si>
    <t>only consider the cash trade receivables and trde payables</t>
  </si>
  <si>
    <t>ANALYSIS</t>
  </si>
  <si>
    <t>DSO(SHOWCUSTOMERS DELAY IN PAYMENT  THIS WILL REDUCED LIQUIDITY AND ALSO IIMPCT ON THE WORKING CAPITAL LIKE BAD DEBTS , SHORT TERM BORROWINGS USE BY FIRMS</t>
  </si>
  <si>
    <t xml:space="preserve">DPO( COMPANY  PAY ITS SUPPLIER QUICKELY AND ALSO SHOW STRONG RELATION SHIP WITH SUPPLIER BUT THIS IMPACT LIQUIDITY  </t>
  </si>
  <si>
    <t>INVENTORY DAYS (IS REDUCED THIS REPRESENT FAST COVERSION OF STOCK INTO SALES    MEANS MORE ORDERS AND TO MAINTAIN THIS COMPANY NEED TIMELY RAW MATERIAL TO INCREASE PRODUCTION THAT’S WHAY DPO IS REDUCCED ANDN DSO IS INCREASED</t>
  </si>
  <si>
    <t>WORKING CAPITAL IS INCREASE SHOWING MORE LIQUDITY AND SUFFICIENT FUNDS TO MEET THEIR DAY TO DAY OBLIGATION/</t>
  </si>
  <si>
    <t>CONCLUSION:  TTHIS ANALYSIS SHOW COMPANY WANT TO INCREASE TO THEIR CUSTOMER BASE AND REVENUE THIS ALSO REPRESENT IN THE DPO/ DSO  PLOICIS  OF THE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</si>
</sst>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42" x14ac:knownFonts="1">
    <font>
      <sz val="11"/>
      <color theme="1"/>
      <name val="Calibri"/>
      <family val="2"/>
      <charset val="1"/>
    </font>
    <font>
      <sz val="11"/>
      <color theme="1"/>
      <name val="Calibri"/>
      <family val="2"/>
    </font>
    <font>
      <sz val="10"/>
      <name val="Arial"/>
      <family val="2"/>
    </font>
    <font>
      <b/>
      <sz val="13"/>
      <color rgb="FFFFFFFF"/>
      <name val="Arial"/>
      <family val="2"/>
    </font>
    <font>
      <sz val="10"/>
      <color rgb="FFFFFFFF"/>
      <name val="Arial"/>
      <family val="2"/>
    </font>
    <font>
      <b/>
      <sz val="11"/>
      <color rgb="FFFFFFFF"/>
      <name val="Arial"/>
      <family val="2"/>
    </font>
    <font>
      <b/>
      <sz val="10"/>
      <color rgb="FFFFFFFF"/>
      <name val="Arial"/>
      <family val="2"/>
    </font>
    <font>
      <sz val="10"/>
      <color rgb="FF000000"/>
      <name val="Arial"/>
      <family val="2"/>
    </font>
    <font>
      <b/>
      <sz val="10"/>
      <color rgb="FF0000FF"/>
      <name val="Arial"/>
      <family val="2"/>
    </font>
    <font>
      <b/>
      <sz val="10"/>
      <color rgb="FF000000"/>
      <name val="Arial"/>
      <family val="2"/>
    </font>
    <font>
      <i/>
      <sz val="8"/>
      <color rgb="FF666666"/>
      <name val="Arial"/>
      <family val="2"/>
    </font>
    <font>
      <b/>
      <sz val="11"/>
      <color theme="1"/>
      <name val="Calibri"/>
      <family val="2"/>
    </font>
    <font>
      <i/>
      <sz val="10"/>
      <color theme="1"/>
      <name val="Calibri"/>
      <family val="2"/>
    </font>
    <font>
      <vertAlign val="superscript"/>
      <sz val="11"/>
      <color theme="1"/>
      <name val="Calibri"/>
      <family val="2"/>
    </font>
    <font>
      <sz val="11"/>
      <color rgb="FF3333FF"/>
      <name val="Calibri"/>
      <family val="2"/>
    </font>
    <font>
      <sz val="11"/>
      <color rgb="FF3333FF"/>
      <name val="Segoe UI"/>
      <family val="2"/>
    </font>
    <font>
      <sz val="11"/>
      <color theme="0"/>
      <name val="Calibri"/>
      <family val="2"/>
      <charset val="1"/>
    </font>
    <font>
      <sz val="20"/>
      <color theme="0"/>
      <name val="Arial Black"/>
      <family val="2"/>
    </font>
    <font>
      <sz val="11"/>
      <color theme="0" tint="-4.9989318521683403E-2"/>
      <name val="Calibri"/>
      <family val="2"/>
      <charset val="1"/>
    </font>
    <font>
      <i/>
      <sz val="11"/>
      <color theme="0" tint="-0.34998626667073579"/>
      <name val="Calibri"/>
      <family val="2"/>
    </font>
    <font>
      <sz val="11"/>
      <color theme="0" tint="-0.34998626667073579"/>
      <name val="Calibri"/>
      <family val="2"/>
    </font>
    <font>
      <vertAlign val="subscript"/>
      <sz val="11"/>
      <color theme="1"/>
      <name val="Calibri"/>
      <family val="2"/>
    </font>
    <font>
      <b/>
      <sz val="12"/>
      <color theme="1"/>
      <name val="Calibri"/>
      <family val="2"/>
    </font>
    <font>
      <b/>
      <sz val="11"/>
      <color rgb="FF3333FF"/>
      <name val="Calibri"/>
      <family val="2"/>
    </font>
    <font>
      <sz val="11"/>
      <color rgb="FF3333FF"/>
      <name val="Calibri"/>
      <family val="2"/>
      <charset val="1"/>
    </font>
    <font>
      <u/>
      <sz val="11"/>
      <color theme="10"/>
      <name val="Calibri"/>
      <family val="2"/>
      <charset val="1"/>
    </font>
    <font>
      <i/>
      <sz val="9"/>
      <color theme="0" tint="-0.249977111117893"/>
      <name val="Calibri"/>
      <family val="2"/>
    </font>
    <font>
      <i/>
      <u/>
      <sz val="11"/>
      <color theme="0" tint="-0.34998626667073579"/>
      <name val="Calibri"/>
      <family val="2"/>
      <charset val="1"/>
    </font>
    <font>
      <i/>
      <u/>
      <sz val="9"/>
      <color theme="0" tint="-0.34998626667073579"/>
      <name val="Calibri"/>
      <family val="2"/>
      <charset val="1"/>
    </font>
    <font>
      <b/>
      <sz val="14"/>
      <color rgb="FFFFFFFF"/>
      <name val="Arial"/>
      <family val="2"/>
    </font>
    <font>
      <i/>
      <sz val="9"/>
      <color rgb="FF1F3864"/>
      <name val="Arial"/>
      <family val="2"/>
    </font>
    <font>
      <b/>
      <sz val="9"/>
      <color rgb="FFFFFFFF"/>
      <name val="Arial"/>
      <family val="2"/>
    </font>
    <font>
      <sz val="9"/>
      <color rgb="FF000000"/>
      <name val="Arial"/>
      <family val="2"/>
    </font>
    <font>
      <sz val="9"/>
      <color rgb="FF3333FF"/>
      <name val="Arial"/>
      <family val="2"/>
    </font>
    <font>
      <b/>
      <sz val="9"/>
      <color rgb="FF375623"/>
      <name val="Arial"/>
      <family val="2"/>
    </font>
    <font>
      <b/>
      <sz val="9"/>
      <color rgb="FF3333FF"/>
      <name val="Arial"/>
      <family val="2"/>
    </font>
    <font>
      <i/>
      <sz val="8"/>
      <color rgb="FF595959"/>
      <name val="Arial"/>
      <family val="2"/>
    </font>
    <font>
      <sz val="16"/>
      <color theme="0"/>
      <name val="Arial Black"/>
      <family val="2"/>
    </font>
    <font>
      <sz val="8"/>
      <name val="Calibri"/>
      <family val="2"/>
      <charset val="1"/>
    </font>
    <font>
      <b/>
      <sz val="12"/>
      <color theme="0"/>
      <name val="Calibri"/>
      <family val="2"/>
    </font>
    <font>
      <i/>
      <sz val="11"/>
      <color theme="1"/>
      <name val="Calibri"/>
      <family val="2"/>
    </font>
    <font>
      <i/>
      <sz val="9"/>
      <color theme="1"/>
      <name val="Calibri"/>
      <family val="2"/>
    </font>
  </fonts>
  <fills count="23">
    <fill>
      <patternFill patternType="none"/>
    </fill>
    <fill>
      <patternFill patternType="gray125"/>
    </fill>
    <fill>
      <patternFill patternType="solid">
        <fgColor rgb="FF1F3864"/>
        <bgColor rgb="FF333333"/>
      </patternFill>
    </fill>
    <fill>
      <patternFill patternType="solid">
        <fgColor rgb="FF2F5496"/>
        <bgColor rgb="FF395F8A"/>
      </patternFill>
    </fill>
    <fill>
      <patternFill patternType="solid">
        <fgColor rgb="FF395F8A"/>
        <bgColor rgb="FF2F5496"/>
      </patternFill>
    </fill>
    <fill>
      <patternFill patternType="solid">
        <fgColor rgb="FFBDD7EE"/>
        <bgColor rgb="FF99CCFF"/>
      </patternFill>
    </fill>
    <fill>
      <patternFill patternType="solid">
        <fgColor theme="4" tint="0.59999389629810485"/>
        <bgColor indexed="64"/>
      </patternFill>
    </fill>
    <fill>
      <patternFill patternType="solid">
        <fgColor theme="2"/>
        <bgColor indexed="64"/>
      </patternFill>
    </fill>
    <fill>
      <patternFill patternType="solid">
        <fgColor rgb="FFFFFFFF"/>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6"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2F2F2"/>
      </patternFill>
    </fill>
    <fill>
      <patternFill patternType="solid">
        <fgColor rgb="FF1F3864"/>
      </patternFill>
    </fill>
    <fill>
      <patternFill patternType="solid">
        <fgColor rgb="FF1F4E79"/>
      </patternFill>
    </fill>
    <fill>
      <patternFill patternType="solid">
        <fgColor rgb="FFBDD7EE"/>
      </patternFill>
    </fill>
    <fill>
      <patternFill patternType="solid">
        <fgColor rgb="FFFFFFFF"/>
      </patternFill>
    </fill>
    <fill>
      <patternFill patternType="solid">
        <fgColor rgb="FFE2EFDA"/>
      </patternFill>
    </fill>
    <fill>
      <patternFill patternType="solid">
        <fgColor theme="4" tint="-0.249977111117893"/>
        <bgColor indexed="64"/>
      </patternFill>
    </fill>
  </fills>
  <borders count="9">
    <border>
      <left/>
      <right/>
      <top/>
      <bottom/>
      <diagonal/>
    </border>
    <border>
      <left style="thin">
        <color rgb="FFAAAAAA"/>
      </left>
      <right style="thin">
        <color rgb="FFAAAAAA"/>
      </right>
      <top style="thin">
        <color rgb="FFAAAAAA"/>
      </top>
      <bottom style="thin">
        <color rgb="FFAAAAAA"/>
      </bottom>
      <diagonal/>
    </border>
    <border>
      <left/>
      <right/>
      <top style="thin">
        <color auto="1"/>
      </top>
      <bottom/>
      <diagonal/>
    </border>
    <border>
      <left/>
      <right/>
      <top/>
      <bottom style="thin">
        <color auto="1"/>
      </bottom>
      <diagonal/>
    </border>
    <border>
      <left/>
      <right/>
      <top style="dotted">
        <color auto="1"/>
      </top>
      <bottom/>
      <diagonal/>
    </border>
    <border>
      <left/>
      <right/>
      <top/>
      <bottom style="thick">
        <color auto="1"/>
      </bottom>
      <diagonal/>
    </border>
    <border>
      <left/>
      <right/>
      <top/>
      <bottom style="hair">
        <color auto="1"/>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s>
  <cellStyleXfs count="3">
    <xf numFmtId="0" fontId="0" fillId="0" borderId="0"/>
    <xf numFmtId="9" fontId="2" fillId="0" borderId="0" applyBorder="0" applyAlignment="0" applyProtection="0"/>
    <xf numFmtId="0" fontId="25" fillId="0" borderId="0" applyNumberFormat="0" applyFill="0" applyBorder="0" applyAlignment="0" applyProtection="0"/>
  </cellStyleXfs>
  <cellXfs count="119">
    <xf numFmtId="0" fontId="0" fillId="0" borderId="0" xfId="0"/>
    <xf numFmtId="0" fontId="0" fillId="0" borderId="0" xfId="0" applyAlignment="1"/>
    <xf numFmtId="0" fontId="5" fillId="3" borderId="1" xfId="0" applyFont="1" applyFill="1" applyBorder="1" applyAlignment="1">
      <alignment horizontal="left" vertical="center"/>
    </xf>
    <xf numFmtId="0" fontId="5" fillId="3" borderId="1" xfId="0" applyFont="1" applyFill="1" applyBorder="1" applyAlignment="1">
      <alignment horizontal="center" vertical="center"/>
    </xf>
    <xf numFmtId="0" fontId="7" fillId="0" borderId="0" xfId="0" applyFont="1" applyAlignment="1">
      <alignment horizontal="left" vertical="center"/>
    </xf>
    <xf numFmtId="164" fontId="8" fillId="0" borderId="1" xfId="0" applyNumberFormat="1" applyFont="1" applyBorder="1" applyAlignment="1">
      <alignment horizontal="right" vertical="center"/>
    </xf>
    <xf numFmtId="0" fontId="9" fillId="5" borderId="0" xfId="0" applyFont="1" applyFill="1" applyAlignment="1">
      <alignment horizontal="left" vertical="center"/>
    </xf>
    <xf numFmtId="164" fontId="9" fillId="5" borderId="1" xfId="0" applyNumberFormat="1" applyFont="1" applyFill="1" applyBorder="1" applyAlignment="1">
      <alignment horizontal="right" vertical="center"/>
    </xf>
    <xf numFmtId="0" fontId="0" fillId="5" borderId="0" xfId="0" applyFill="1" applyAlignment="1"/>
    <xf numFmtId="0" fontId="9" fillId="0" borderId="0" xfId="0" applyFont="1" applyAlignment="1">
      <alignment horizontal="left" vertical="center"/>
    </xf>
    <xf numFmtId="164" fontId="9" fillId="0" borderId="1" xfId="0" applyNumberFormat="1" applyFont="1" applyBorder="1" applyAlignment="1">
      <alignment horizontal="right" vertical="center"/>
    </xf>
    <xf numFmtId="0" fontId="11" fillId="6" borderId="0" xfId="0" applyFont="1" applyFill="1"/>
    <xf numFmtId="0" fontId="0" fillId="6" borderId="0" xfId="0" applyFill="1"/>
    <xf numFmtId="0" fontId="12" fillId="0" borderId="0" xfId="0" applyFont="1"/>
    <xf numFmtId="0" fontId="11" fillId="0" borderId="0" xfId="0" applyFont="1"/>
    <xf numFmtId="0" fontId="0" fillId="0" borderId="2" xfId="0" applyBorder="1"/>
    <xf numFmtId="0" fontId="0" fillId="0" borderId="2" xfId="0" applyBorder="1" applyAlignment="1">
      <alignment horizontal="right"/>
    </xf>
    <xf numFmtId="0" fontId="0" fillId="0" borderId="3" xfId="0" applyBorder="1"/>
    <xf numFmtId="0" fontId="0" fillId="0" borderId="3" xfId="0" applyBorder="1" applyAlignment="1">
      <alignment horizontal="right"/>
    </xf>
    <xf numFmtId="10" fontId="14" fillId="0" borderId="0" xfId="0" applyNumberFormat="1" applyFont="1"/>
    <xf numFmtId="10" fontId="0" fillId="7" borderId="0" xfId="1" applyNumberFormat="1" applyFont="1" applyFill="1"/>
    <xf numFmtId="2" fontId="14" fillId="0" borderId="0" xfId="0" applyNumberFormat="1" applyFont="1"/>
    <xf numFmtId="0" fontId="11" fillId="0" borderId="3" xfId="0" applyFont="1" applyBorder="1"/>
    <xf numFmtId="0" fontId="14" fillId="0" borderId="0" xfId="0" applyFont="1" applyAlignment="1">
      <alignment horizontal="center"/>
    </xf>
    <xf numFmtId="0" fontId="14" fillId="0" borderId="2" xfId="0" applyFont="1" applyBorder="1" applyAlignment="1">
      <alignment horizontal="center"/>
    </xf>
    <xf numFmtId="4" fontId="0" fillId="0" borderId="0" xfId="0" applyNumberFormat="1"/>
    <xf numFmtId="10" fontId="14" fillId="0" borderId="0" xfId="0" applyNumberFormat="1" applyFont="1" applyAlignment="1">
      <alignment horizontal="center"/>
    </xf>
    <xf numFmtId="0" fontId="16" fillId="9" borderId="0" xfId="0" applyFont="1" applyFill="1"/>
    <xf numFmtId="0" fontId="16" fillId="9" borderId="0" xfId="0" applyFont="1" applyFill="1" applyAlignment="1"/>
    <xf numFmtId="165" fontId="0" fillId="0" borderId="0" xfId="0" applyNumberFormat="1"/>
    <xf numFmtId="10" fontId="0" fillId="0" borderId="0" xfId="0" applyNumberFormat="1"/>
    <xf numFmtId="0" fontId="0" fillId="10" borderId="0" xfId="0" applyFill="1"/>
    <xf numFmtId="10" fontId="2" fillId="10" borderId="0" xfId="1" applyNumberFormat="1" applyFill="1"/>
    <xf numFmtId="0" fontId="0" fillId="11" borderId="0" xfId="0" applyFill="1"/>
    <xf numFmtId="10" fontId="0" fillId="11" borderId="0" xfId="0" applyNumberFormat="1" applyFill="1"/>
    <xf numFmtId="10" fontId="2" fillId="11" borderId="0" xfId="1" applyNumberFormat="1" applyFill="1"/>
    <xf numFmtId="0" fontId="0" fillId="0" borderId="0" xfId="0" applyAlignment="1">
      <alignment vertical="center" wrapText="1"/>
    </xf>
    <xf numFmtId="0" fontId="0" fillId="12" borderId="0" xfId="0" applyFill="1"/>
    <xf numFmtId="0" fontId="0" fillId="13" borderId="0" xfId="0" applyFill="1"/>
    <xf numFmtId="2" fontId="0" fillId="13" borderId="0" xfId="0" applyNumberFormat="1" applyFill="1"/>
    <xf numFmtId="10" fontId="2" fillId="13" borderId="0" xfId="1" applyNumberFormat="1" applyFill="1"/>
    <xf numFmtId="0" fontId="0" fillId="0" borderId="4" xfId="0" applyBorder="1"/>
    <xf numFmtId="9" fontId="2" fillId="0" borderId="0" xfId="1"/>
    <xf numFmtId="0" fontId="0" fillId="0" borderId="5" xfId="0" applyBorder="1"/>
    <xf numFmtId="10" fontId="2" fillId="0" borderId="0" xfId="1" applyNumberFormat="1"/>
    <xf numFmtId="10" fontId="2" fillId="0" borderId="4" xfId="1" applyNumberFormat="1" applyBorder="1"/>
    <xf numFmtId="0" fontId="0" fillId="0" borderId="0" xfId="0" applyBorder="1"/>
    <xf numFmtId="0" fontId="11" fillId="0" borderId="6" xfId="0" applyFont="1" applyBorder="1"/>
    <xf numFmtId="0" fontId="0" fillId="0" borderId="6" xfId="0" applyBorder="1"/>
    <xf numFmtId="10" fontId="0" fillId="0" borderId="0" xfId="1" applyNumberFormat="1" applyFont="1" applyBorder="1"/>
    <xf numFmtId="0" fontId="11" fillId="15" borderId="0" xfId="0" applyFont="1" applyFill="1"/>
    <xf numFmtId="10" fontId="11" fillId="15" borderId="0" xfId="0" applyNumberFormat="1" applyFont="1" applyFill="1"/>
    <xf numFmtId="0" fontId="11" fillId="0" borderId="0" xfId="0" applyFont="1" applyBorder="1"/>
    <xf numFmtId="10" fontId="0" fillId="0" borderId="0" xfId="0" applyNumberFormat="1" applyBorder="1"/>
    <xf numFmtId="2" fontId="0" fillId="0" borderId="0" xfId="0" applyNumberFormat="1" applyBorder="1"/>
    <xf numFmtId="4" fontId="0" fillId="0" borderId="2" xfId="0" applyNumberFormat="1" applyBorder="1" applyAlignment="1"/>
    <xf numFmtId="0" fontId="0" fillId="0" borderId="2" xfId="0" applyBorder="1" applyAlignment="1"/>
    <xf numFmtId="10" fontId="14" fillId="0" borderId="2" xfId="0" applyNumberFormat="1" applyFont="1" applyBorder="1" applyAlignment="1">
      <alignment horizontal="center"/>
    </xf>
    <xf numFmtId="10" fontId="0" fillId="7" borderId="2" xfId="1" applyNumberFormat="1" applyFont="1" applyFill="1" applyBorder="1"/>
    <xf numFmtId="2" fontId="15" fillId="8" borderId="2" xfId="0" applyNumberFormat="1" applyFont="1" applyFill="1" applyBorder="1" applyAlignment="1">
      <alignment vertical="center" wrapText="1"/>
    </xf>
    <xf numFmtId="0" fontId="24" fillId="0" borderId="0" xfId="0" applyFont="1" applyAlignment="1">
      <alignment vertical="center" wrapText="1"/>
    </xf>
    <xf numFmtId="0" fontId="26" fillId="0" borderId="0" xfId="0" applyFont="1"/>
    <xf numFmtId="0" fontId="27" fillId="0" borderId="0" xfId="2" applyFont="1"/>
    <xf numFmtId="0" fontId="16" fillId="14" borderId="0" xfId="0" applyFont="1" applyFill="1" applyBorder="1" applyAlignment="1">
      <alignment horizontal="center"/>
    </xf>
    <xf numFmtId="15" fontId="0" fillId="0" borderId="0" xfId="0" applyNumberFormat="1" applyBorder="1"/>
    <xf numFmtId="0" fontId="24" fillId="0" borderId="0" xfId="0" applyFont="1" applyBorder="1" applyAlignment="1">
      <alignment vertical="center" wrapText="1"/>
    </xf>
    <xf numFmtId="4" fontId="0" fillId="0" borderId="0" xfId="0" applyNumberFormat="1" applyBorder="1"/>
    <xf numFmtId="0" fontId="0" fillId="14" borderId="0" xfId="0" applyFill="1" applyBorder="1"/>
    <xf numFmtId="0" fontId="16" fillId="14" borderId="0" xfId="0" applyFont="1" applyFill="1" applyBorder="1"/>
    <xf numFmtId="15" fontId="0" fillId="14" borderId="0" xfId="0" applyNumberFormat="1" applyFill="1" applyBorder="1"/>
    <xf numFmtId="0" fontId="24" fillId="14" borderId="0" xfId="0" applyFont="1" applyFill="1" applyBorder="1" applyAlignment="1">
      <alignment vertical="center" wrapText="1"/>
    </xf>
    <xf numFmtId="4" fontId="0" fillId="14" borderId="0" xfId="0" applyNumberFormat="1" applyFill="1" applyBorder="1"/>
    <xf numFmtId="10" fontId="0" fillId="14" borderId="0" xfId="0" applyNumberFormat="1" applyFill="1" applyBorder="1"/>
    <xf numFmtId="10" fontId="0" fillId="14" borderId="0" xfId="0" applyNumberFormat="1" applyFill="1" applyBorder="1" applyAlignment="1">
      <alignment horizontal="right"/>
    </xf>
    <xf numFmtId="3" fontId="0" fillId="14" borderId="0" xfId="0" applyNumberFormat="1" applyFill="1" applyBorder="1"/>
    <xf numFmtId="0" fontId="11" fillId="0" borderId="5" xfId="0" applyFont="1" applyBorder="1"/>
    <xf numFmtId="10" fontId="0" fillId="0" borderId="5" xfId="0" applyNumberFormat="1" applyBorder="1"/>
    <xf numFmtId="10" fontId="0" fillId="0" borderId="5" xfId="1" applyNumberFormat="1" applyFont="1" applyBorder="1"/>
    <xf numFmtId="2" fontId="0" fillId="0" borderId="5" xfId="0" applyNumberFormat="1" applyBorder="1"/>
    <xf numFmtId="0" fontId="20" fillId="0" borderId="0" xfId="0" applyFont="1"/>
    <xf numFmtId="10" fontId="2" fillId="0" borderId="0" xfId="1" applyNumberFormat="1" applyBorder="1"/>
    <xf numFmtId="0" fontId="31" fillId="18" borderId="7" xfId="0" applyFont="1" applyFill="1" applyBorder="1" applyAlignment="1">
      <alignment horizontal="center" vertical="center" wrapText="1"/>
    </xf>
    <xf numFmtId="0" fontId="31" fillId="17" borderId="8" xfId="0" applyFont="1" applyFill="1" applyBorder="1" applyAlignment="1">
      <alignment horizontal="center" vertical="center" wrapText="1"/>
    </xf>
    <xf numFmtId="0" fontId="31" fillId="17" borderId="8" xfId="0" applyFont="1" applyFill="1" applyBorder="1" applyAlignment="1">
      <alignment horizontal="left" vertical="center" wrapText="1"/>
    </xf>
    <xf numFmtId="0" fontId="31" fillId="17" borderId="8" xfId="0" applyFont="1" applyFill="1" applyBorder="1" applyAlignment="1">
      <alignment horizontal="right" vertical="center" wrapText="1"/>
    </xf>
    <xf numFmtId="0" fontId="32" fillId="16" borderId="8" xfId="0" applyFont="1" applyFill="1" applyBorder="1" applyAlignment="1">
      <alignment horizontal="center" vertical="center" wrapText="1"/>
    </xf>
    <xf numFmtId="0" fontId="32" fillId="16" borderId="8" xfId="0" applyFont="1" applyFill="1" applyBorder="1" applyAlignment="1">
      <alignment horizontal="left" vertical="center" wrapText="1"/>
    </xf>
    <xf numFmtId="2" fontId="33" fillId="16" borderId="8" xfId="0" applyNumberFormat="1" applyFont="1" applyFill="1" applyBorder="1" applyAlignment="1">
      <alignment horizontal="right" vertical="center" wrapText="1"/>
    </xf>
    <xf numFmtId="0" fontId="32" fillId="20" borderId="8" xfId="0" applyFont="1" applyFill="1" applyBorder="1" applyAlignment="1">
      <alignment horizontal="center" vertical="center" wrapText="1"/>
    </xf>
    <xf numFmtId="0" fontId="32" fillId="20" borderId="8" xfId="0" applyFont="1" applyFill="1" applyBorder="1" applyAlignment="1">
      <alignment horizontal="left" vertical="center" wrapText="1"/>
    </xf>
    <xf numFmtId="2" fontId="33" fillId="20" borderId="8" xfId="0" applyNumberFormat="1" applyFont="1" applyFill="1" applyBorder="1" applyAlignment="1">
      <alignment horizontal="right" vertical="center" wrapText="1"/>
    </xf>
    <xf numFmtId="0" fontId="34" fillId="21" borderId="8" xfId="0" applyFont="1" applyFill="1" applyBorder="1" applyAlignment="1">
      <alignment horizontal="center" vertical="center" wrapText="1"/>
    </xf>
    <xf numFmtId="0" fontId="34" fillId="21" borderId="8" xfId="0" applyFont="1" applyFill="1" applyBorder="1" applyAlignment="1">
      <alignment horizontal="left" vertical="center" wrapText="1"/>
    </xf>
    <xf numFmtId="2" fontId="35" fillId="21" borderId="8" xfId="0" applyNumberFormat="1" applyFont="1" applyFill="1" applyBorder="1" applyAlignment="1">
      <alignment horizontal="right" vertical="center" wrapText="1"/>
    </xf>
    <xf numFmtId="0" fontId="35" fillId="17" borderId="8" xfId="0" applyFont="1" applyFill="1" applyBorder="1" applyAlignment="1">
      <alignment horizontal="right" vertical="center" wrapText="1"/>
    </xf>
    <xf numFmtId="0" fontId="39" fillId="22" borderId="0" xfId="0" applyFont="1" applyFill="1"/>
    <xf numFmtId="2" fontId="1" fillId="0" borderId="0" xfId="0" applyNumberFormat="1" applyFont="1"/>
    <xf numFmtId="0" fontId="41" fillId="0" borderId="0" xfId="0" applyFont="1"/>
    <xf numFmtId="2" fontId="0" fillId="0" borderId="0" xfId="0" applyNumberFormat="1"/>
    <xf numFmtId="0" fontId="40" fillId="6" borderId="0" xfId="0" applyFont="1" applyFill="1"/>
    <xf numFmtId="0" fontId="3" fillId="2" borderId="0" xfId="0" applyFont="1" applyFill="1" applyBorder="1" applyAlignment="1">
      <alignment horizontal="center" vertical="center"/>
    </xf>
    <xf numFmtId="0" fontId="4" fillId="2" borderId="0" xfId="0" applyFont="1" applyFill="1" applyBorder="1" applyAlignment="1">
      <alignment horizontal="center" vertical="center"/>
    </xf>
    <xf numFmtId="0" fontId="5" fillId="3" borderId="0" xfId="0" applyFont="1" applyFill="1" applyBorder="1" applyAlignment="1">
      <alignment horizontal="left" vertical="center"/>
    </xf>
    <xf numFmtId="0" fontId="6" fillId="4" borderId="0" xfId="0" applyFont="1" applyFill="1" applyBorder="1" applyAlignment="1">
      <alignment horizontal="left" vertical="center"/>
    </xf>
    <xf numFmtId="0" fontId="10" fillId="0" borderId="0" xfId="0" applyFont="1" applyBorder="1" applyAlignment="1"/>
    <xf numFmtId="0" fontId="36" fillId="0" borderId="0" xfId="0" applyFont="1" applyAlignment="1">
      <alignment horizontal="left" wrapText="1"/>
    </xf>
    <xf numFmtId="0" fontId="0" fillId="0" borderId="0" xfId="0"/>
    <xf numFmtId="0" fontId="29" fillId="17" borderId="0" xfId="0" applyFont="1" applyFill="1" applyAlignment="1">
      <alignment horizontal="center" vertical="center"/>
    </xf>
    <xf numFmtId="0" fontId="5" fillId="18" borderId="0" xfId="0" applyFont="1" applyFill="1" applyAlignment="1">
      <alignment horizontal="center" vertical="center"/>
    </xf>
    <xf numFmtId="0" fontId="30" fillId="19" borderId="3" xfId="0" applyFont="1" applyFill="1" applyBorder="1" applyAlignment="1">
      <alignment horizontal="center" vertical="center"/>
    </xf>
    <xf numFmtId="0" fontId="17" fillId="9" borderId="0" xfId="0" applyFont="1" applyFill="1" applyAlignment="1">
      <alignment horizontal="center"/>
    </xf>
    <xf numFmtId="0" fontId="18" fillId="9" borderId="0" xfId="0" applyFont="1" applyFill="1" applyAlignment="1">
      <alignment horizontal="center"/>
    </xf>
    <xf numFmtId="0" fontId="19" fillId="0" borderId="0" xfId="0" applyFont="1" applyAlignment="1">
      <alignment horizontal="center"/>
    </xf>
    <xf numFmtId="0" fontId="20" fillId="0" borderId="0" xfId="0" applyFont="1" applyAlignment="1">
      <alignment horizontal="center"/>
    </xf>
    <xf numFmtId="0" fontId="16" fillId="14" borderId="0" xfId="0" applyFont="1" applyFill="1" applyBorder="1" applyAlignment="1">
      <alignment horizontal="center"/>
    </xf>
    <xf numFmtId="0" fontId="22" fillId="14" borderId="0" xfId="0" applyFont="1" applyFill="1" applyBorder="1" applyAlignment="1">
      <alignment horizontal="center"/>
    </xf>
    <xf numFmtId="0" fontId="0" fillId="0" borderId="0" xfId="0" applyAlignment="1">
      <alignment horizontal="center"/>
    </xf>
    <xf numFmtId="0" fontId="23" fillId="0" borderId="2" xfId="0" applyFont="1" applyBorder="1" applyAlignment="1">
      <alignment horizontal="center"/>
    </xf>
    <xf numFmtId="0" fontId="37" fillId="9" borderId="0" xfId="0" applyFont="1" applyFill="1" applyAlignment="1">
      <alignment horizontal="center"/>
    </xf>
  </cellXfs>
  <cellStyles count="3">
    <cellStyle name="Hyperlink" xfId="2" builtinId="8"/>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395F8A"/>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AAAAAA"/>
      <rgbColor rgb="FF1F3864"/>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nseindia.com/get-quote/equity/JSWSTEEL/JSW-Steel-Limi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showGridLines="0" topLeftCell="A25" zoomScaleNormal="100" workbookViewId="0">
      <selection sqref="A1:C1"/>
    </sheetView>
  </sheetViews>
  <sheetFormatPr defaultColWidth="8.6640625" defaultRowHeight="14.4" x14ac:dyDescent="0.3"/>
  <cols>
    <col min="1" max="1" width="52" style="1" customWidth="1"/>
    <col min="2" max="3" width="18" style="1" customWidth="1"/>
    <col min="4" max="4" width="3" style="1" customWidth="1"/>
  </cols>
  <sheetData>
    <row r="1" spans="1:3" ht="30" customHeight="1" x14ac:dyDescent="0.3">
      <c r="A1" s="100" t="s">
        <v>0</v>
      </c>
      <c r="B1" s="100"/>
      <c r="C1" s="100"/>
    </row>
    <row r="2" spans="1:3" ht="19.5" customHeight="1" x14ac:dyDescent="0.3">
      <c r="A2" s="101" t="s">
        <v>1</v>
      </c>
      <c r="B2" s="101"/>
      <c r="C2" s="101"/>
    </row>
    <row r="3" spans="1:3" ht="21.75" customHeight="1" x14ac:dyDescent="0.3">
      <c r="A3" s="2" t="s">
        <v>2</v>
      </c>
      <c r="B3" s="3" t="s">
        <v>3</v>
      </c>
      <c r="C3" s="3" t="s">
        <v>4</v>
      </c>
    </row>
    <row r="4" spans="1:3" ht="15" customHeight="1" x14ac:dyDescent="0.3">
      <c r="A4" s="102" t="s">
        <v>5</v>
      </c>
      <c r="B4" s="102"/>
      <c r="C4" s="102"/>
    </row>
    <row r="5" spans="1:3" ht="15" customHeight="1" x14ac:dyDescent="0.3">
      <c r="A5" s="103" t="s">
        <v>6</v>
      </c>
      <c r="B5" s="103"/>
      <c r="C5" s="103"/>
    </row>
    <row r="6" spans="1:3" ht="15" customHeight="1" x14ac:dyDescent="0.3">
      <c r="A6" s="4" t="s">
        <v>7</v>
      </c>
      <c r="B6" s="5">
        <v>73322</v>
      </c>
      <c r="C6" s="5">
        <v>74457</v>
      </c>
    </row>
    <row r="7" spans="1:3" ht="15" customHeight="1" x14ac:dyDescent="0.3">
      <c r="A7" s="4" t="s">
        <v>8</v>
      </c>
      <c r="B7" s="5">
        <v>10538</v>
      </c>
      <c r="C7" s="5">
        <v>10504</v>
      </c>
    </row>
    <row r="8" spans="1:3" ht="15" customHeight="1" x14ac:dyDescent="0.3">
      <c r="A8" s="4" t="s">
        <v>9</v>
      </c>
      <c r="B8" s="5">
        <v>2931</v>
      </c>
      <c r="C8" s="5">
        <v>2786</v>
      </c>
    </row>
    <row r="9" spans="1:3" ht="15" customHeight="1" x14ac:dyDescent="0.3">
      <c r="A9" s="4" t="s">
        <v>10</v>
      </c>
      <c r="B9" s="5">
        <v>413</v>
      </c>
      <c r="C9" s="5">
        <v>413</v>
      </c>
    </row>
    <row r="10" spans="1:3" ht="15" customHeight="1" x14ac:dyDescent="0.3">
      <c r="A10" s="4" t="s">
        <v>11</v>
      </c>
      <c r="B10" s="5">
        <v>1843</v>
      </c>
      <c r="C10" s="5">
        <v>1930</v>
      </c>
    </row>
    <row r="11" spans="1:3" ht="15" customHeight="1" x14ac:dyDescent="0.3">
      <c r="A11" s="4" t="s">
        <v>12</v>
      </c>
      <c r="B11" s="5">
        <v>377</v>
      </c>
      <c r="C11" s="5">
        <v>352</v>
      </c>
    </row>
    <row r="12" spans="1:3" ht="15" customHeight="1" x14ac:dyDescent="0.3">
      <c r="A12" s="4" t="s">
        <v>13</v>
      </c>
      <c r="B12" s="5">
        <v>28483</v>
      </c>
      <c r="C12" s="5">
        <v>25195</v>
      </c>
    </row>
    <row r="13" spans="1:3" ht="15" customHeight="1" x14ac:dyDescent="0.3">
      <c r="A13" s="4" t="s">
        <v>14</v>
      </c>
      <c r="B13" s="5">
        <v>5040</v>
      </c>
      <c r="C13" s="5">
        <v>4946</v>
      </c>
    </row>
    <row r="14" spans="1:3" ht="15" customHeight="1" x14ac:dyDescent="0.3">
      <c r="A14" s="4" t="s">
        <v>15</v>
      </c>
      <c r="B14" s="5">
        <v>9710</v>
      </c>
      <c r="C14" s="5">
        <v>11501</v>
      </c>
    </row>
    <row r="15" spans="1:3" ht="15" customHeight="1" x14ac:dyDescent="0.3">
      <c r="A15" s="4" t="s">
        <v>16</v>
      </c>
      <c r="B15" s="5">
        <v>116</v>
      </c>
      <c r="C15" s="5">
        <v>88</v>
      </c>
    </row>
    <row r="16" spans="1:3" ht="15" customHeight="1" x14ac:dyDescent="0.3">
      <c r="A16" s="4" t="s">
        <v>17</v>
      </c>
      <c r="B16" s="5">
        <v>6827</v>
      </c>
      <c r="C16" s="5">
        <v>5618</v>
      </c>
    </row>
    <row r="17" spans="1:6" ht="15" customHeight="1" x14ac:dyDescent="0.3">
      <c r="A17" s="4" t="s">
        <v>18</v>
      </c>
      <c r="B17" s="5">
        <v>558</v>
      </c>
      <c r="C17" s="5">
        <v>781</v>
      </c>
    </row>
    <row r="18" spans="1:6" ht="15" customHeight="1" x14ac:dyDescent="0.3">
      <c r="A18" s="4" t="s">
        <v>19</v>
      </c>
      <c r="B18" s="5">
        <v>5759</v>
      </c>
      <c r="C18" s="5">
        <v>3773</v>
      </c>
    </row>
    <row r="19" spans="1:6" ht="15" customHeight="1" x14ac:dyDescent="0.3">
      <c r="A19" s="6" t="s">
        <v>20</v>
      </c>
      <c r="B19" s="7">
        <f>SUM(B5:B18)</f>
        <v>145917</v>
      </c>
      <c r="C19" s="7">
        <f>SUM(C5:C18)</f>
        <v>142344</v>
      </c>
      <c r="D19" s="8"/>
      <c r="E19" s="8"/>
      <c r="F19" s="8"/>
    </row>
    <row r="20" spans="1:6" ht="15" customHeight="1" x14ac:dyDescent="0.3">
      <c r="A20" s="103" t="s">
        <v>21</v>
      </c>
      <c r="B20" s="103"/>
      <c r="C20" s="103"/>
    </row>
    <row r="21" spans="1:6" ht="15" customHeight="1" x14ac:dyDescent="0.3">
      <c r="A21" s="4" t="s">
        <v>22</v>
      </c>
      <c r="B21" s="5">
        <v>19819</v>
      </c>
      <c r="C21" s="5">
        <v>23234</v>
      </c>
    </row>
    <row r="22" spans="1:6" ht="15" customHeight="1" x14ac:dyDescent="0.3">
      <c r="A22" s="4" t="s">
        <v>23</v>
      </c>
      <c r="B22" s="5">
        <v>5816</v>
      </c>
      <c r="C22" s="5">
        <v>0</v>
      </c>
    </row>
    <row r="23" spans="1:6" ht="15" customHeight="1" x14ac:dyDescent="0.3">
      <c r="A23" s="4" t="s">
        <v>24</v>
      </c>
      <c r="B23" s="5">
        <v>5672</v>
      </c>
      <c r="C23" s="5">
        <v>6498</v>
      </c>
    </row>
    <row r="24" spans="1:6" ht="15" customHeight="1" x14ac:dyDescent="0.3">
      <c r="A24" s="4" t="s">
        <v>25</v>
      </c>
      <c r="B24" s="5">
        <v>9595</v>
      </c>
      <c r="C24" s="5">
        <v>4953</v>
      </c>
    </row>
    <row r="25" spans="1:6" ht="15" customHeight="1" x14ac:dyDescent="0.3">
      <c r="A25" s="4" t="s">
        <v>26</v>
      </c>
      <c r="B25" s="5">
        <v>666</v>
      </c>
      <c r="C25" s="5">
        <v>3176</v>
      </c>
    </row>
    <row r="26" spans="1:6" ht="15" customHeight="1" x14ac:dyDescent="0.3">
      <c r="A26" s="4" t="s">
        <v>27</v>
      </c>
      <c r="B26" s="5">
        <v>0</v>
      </c>
      <c r="C26" s="5">
        <v>4</v>
      </c>
    </row>
    <row r="27" spans="1:6" ht="15" customHeight="1" x14ac:dyDescent="0.3">
      <c r="A27" s="4" t="s">
        <v>28</v>
      </c>
      <c r="B27" s="5">
        <v>232</v>
      </c>
      <c r="C27" s="5">
        <v>148</v>
      </c>
    </row>
    <row r="28" spans="1:6" ht="15" customHeight="1" x14ac:dyDescent="0.3">
      <c r="A28" s="4" t="s">
        <v>29</v>
      </c>
      <c r="B28" s="5">
        <v>818</v>
      </c>
      <c r="C28" s="5">
        <v>1501</v>
      </c>
    </row>
    <row r="29" spans="1:6" ht="15" customHeight="1" x14ac:dyDescent="0.3">
      <c r="A29" s="4" t="s">
        <v>30</v>
      </c>
      <c r="B29" s="5">
        <v>3726</v>
      </c>
      <c r="C29" s="5">
        <v>3580</v>
      </c>
    </row>
    <row r="30" spans="1:6" ht="15" customHeight="1" x14ac:dyDescent="0.3">
      <c r="A30" s="6" t="s">
        <v>31</v>
      </c>
      <c r="B30" s="7">
        <f>SUM(B21:B29)</f>
        <v>46344</v>
      </c>
      <c r="C30" s="7">
        <f>SUM(C21:C29)</f>
        <v>43094</v>
      </c>
      <c r="D30" s="8"/>
      <c r="E30" s="8"/>
      <c r="F30" s="8"/>
    </row>
    <row r="31" spans="1:6" ht="15" customHeight="1" x14ac:dyDescent="0.3">
      <c r="A31" s="6" t="s">
        <v>32</v>
      </c>
      <c r="B31" s="7">
        <f>B19+B30</f>
        <v>192261</v>
      </c>
      <c r="C31" s="7">
        <f>C19+C30</f>
        <v>185438</v>
      </c>
      <c r="D31" s="8"/>
      <c r="E31" s="8"/>
      <c r="F31" s="8"/>
    </row>
    <row r="33" spans="1:6" ht="15" customHeight="1" x14ac:dyDescent="0.3">
      <c r="A33" s="102" t="s">
        <v>33</v>
      </c>
      <c r="B33" s="102"/>
      <c r="C33" s="102"/>
    </row>
    <row r="34" spans="1:6" ht="15" customHeight="1" x14ac:dyDescent="0.3">
      <c r="A34" s="103" t="s">
        <v>34</v>
      </c>
      <c r="B34" s="103"/>
      <c r="C34" s="103"/>
    </row>
    <row r="35" spans="1:6" ht="15" customHeight="1" x14ac:dyDescent="0.3">
      <c r="A35" s="4" t="s">
        <v>35</v>
      </c>
      <c r="B35" s="5">
        <v>305</v>
      </c>
      <c r="C35" s="5">
        <v>305</v>
      </c>
    </row>
    <row r="36" spans="1:6" ht="15" customHeight="1" x14ac:dyDescent="0.3">
      <c r="A36" s="4" t="s">
        <v>36</v>
      </c>
      <c r="B36" s="5">
        <v>79534</v>
      </c>
      <c r="C36" s="5">
        <v>74978</v>
      </c>
    </row>
    <row r="37" spans="1:6" ht="15" customHeight="1" x14ac:dyDescent="0.3">
      <c r="A37" s="6" t="s">
        <v>37</v>
      </c>
      <c r="B37" s="7">
        <f>SUM(B35:B36)</f>
        <v>79839</v>
      </c>
      <c r="C37" s="7">
        <f>SUM(C35:C36)</f>
        <v>75283</v>
      </c>
      <c r="D37" s="8"/>
      <c r="E37" s="8"/>
      <c r="F37" s="8"/>
    </row>
    <row r="38" spans="1:6" ht="15" customHeight="1" x14ac:dyDescent="0.3">
      <c r="A38" s="103" t="s">
        <v>38</v>
      </c>
      <c r="B38" s="103"/>
      <c r="C38" s="103"/>
    </row>
    <row r="39" spans="1:6" ht="15" customHeight="1" x14ac:dyDescent="0.3">
      <c r="A39" s="4" t="s">
        <v>39</v>
      </c>
      <c r="B39" s="5">
        <v>55919</v>
      </c>
      <c r="C39" s="5">
        <v>47241</v>
      </c>
    </row>
    <row r="40" spans="1:6" ht="15" customHeight="1" x14ac:dyDescent="0.3">
      <c r="A40" s="4" t="s">
        <v>40</v>
      </c>
      <c r="B40" s="5">
        <v>2428</v>
      </c>
      <c r="C40" s="5">
        <v>1974</v>
      </c>
    </row>
    <row r="41" spans="1:6" ht="15" customHeight="1" x14ac:dyDescent="0.3">
      <c r="A41" s="4" t="s">
        <v>41</v>
      </c>
      <c r="B41" s="5">
        <v>0</v>
      </c>
      <c r="C41" s="5">
        <v>10</v>
      </c>
    </row>
    <row r="42" spans="1:6" ht="15" customHeight="1" x14ac:dyDescent="0.3">
      <c r="A42" s="4" t="s">
        <v>42</v>
      </c>
      <c r="B42" s="5">
        <v>655</v>
      </c>
      <c r="C42" s="5">
        <v>835</v>
      </c>
    </row>
    <row r="43" spans="1:6" ht="15" customHeight="1" x14ac:dyDescent="0.3">
      <c r="A43" s="4" t="s">
        <v>43</v>
      </c>
      <c r="B43" s="5">
        <v>1196</v>
      </c>
      <c r="C43" s="5">
        <v>1288</v>
      </c>
    </row>
    <row r="44" spans="1:6" ht="15" customHeight="1" x14ac:dyDescent="0.3">
      <c r="A44" s="4" t="s">
        <v>44</v>
      </c>
      <c r="B44" s="5">
        <v>8528</v>
      </c>
      <c r="C44" s="5">
        <v>9320</v>
      </c>
    </row>
    <row r="45" spans="1:6" ht="15" customHeight="1" x14ac:dyDescent="0.3">
      <c r="A45" s="4" t="s">
        <v>45</v>
      </c>
      <c r="B45" s="5">
        <v>88</v>
      </c>
      <c r="C45" s="5">
        <v>33</v>
      </c>
    </row>
    <row r="46" spans="1:6" ht="15" customHeight="1" x14ac:dyDescent="0.3">
      <c r="A46" s="6" t="s">
        <v>46</v>
      </c>
      <c r="B46" s="7">
        <f>SUM(B39:B45)</f>
        <v>68814</v>
      </c>
      <c r="C46" s="7">
        <f>SUM(C39:C45)</f>
        <v>60701</v>
      </c>
      <c r="D46" s="8"/>
      <c r="E46" s="8"/>
      <c r="F46" s="8"/>
    </row>
    <row r="47" spans="1:6" ht="15" customHeight="1" x14ac:dyDescent="0.3">
      <c r="A47" s="103" t="s">
        <v>47</v>
      </c>
      <c r="B47" s="103"/>
      <c r="C47" s="103"/>
    </row>
    <row r="48" spans="1:6" ht="15" customHeight="1" x14ac:dyDescent="0.3">
      <c r="A48" s="4" t="s">
        <v>48</v>
      </c>
      <c r="B48" s="5">
        <v>9576</v>
      </c>
      <c r="C48" s="5">
        <v>11582</v>
      </c>
    </row>
    <row r="49" spans="1:6" ht="15" customHeight="1" x14ac:dyDescent="0.3">
      <c r="A49" s="4" t="s">
        <v>49</v>
      </c>
      <c r="B49" s="5">
        <v>447</v>
      </c>
      <c r="C49" s="5">
        <v>383</v>
      </c>
    </row>
    <row r="50" spans="1:6" ht="15" customHeight="1" x14ac:dyDescent="0.3">
      <c r="A50" s="4" t="s">
        <v>50</v>
      </c>
      <c r="B50" s="5">
        <v>14575</v>
      </c>
      <c r="C50" s="5">
        <v>14460</v>
      </c>
    </row>
    <row r="51" spans="1:6" ht="15" customHeight="1" x14ac:dyDescent="0.3">
      <c r="A51" s="4" t="s">
        <v>51</v>
      </c>
      <c r="B51" s="5">
        <v>854</v>
      </c>
      <c r="C51" s="5">
        <v>543</v>
      </c>
    </row>
    <row r="52" spans="1:6" ht="15" customHeight="1" x14ac:dyDescent="0.3">
      <c r="A52" s="4" t="s">
        <v>52</v>
      </c>
      <c r="B52" s="5">
        <v>8059</v>
      </c>
      <c r="C52" s="5">
        <v>12199</v>
      </c>
    </row>
    <row r="53" spans="1:6" ht="15" customHeight="1" x14ac:dyDescent="0.3">
      <c r="A53" s="4" t="s">
        <v>53</v>
      </c>
      <c r="B53" s="5">
        <v>164</v>
      </c>
      <c r="C53" s="5">
        <v>315</v>
      </c>
    </row>
    <row r="54" spans="1:6" ht="15" customHeight="1" x14ac:dyDescent="0.3">
      <c r="A54" s="4" t="s">
        <v>54</v>
      </c>
      <c r="B54" s="5">
        <v>5493</v>
      </c>
      <c r="C54" s="5">
        <v>5939</v>
      </c>
    </row>
    <row r="55" spans="1:6" ht="15" customHeight="1" x14ac:dyDescent="0.3">
      <c r="A55" s="4" t="s">
        <v>55</v>
      </c>
      <c r="B55" s="5">
        <v>209</v>
      </c>
      <c r="C55" s="5">
        <v>376</v>
      </c>
    </row>
    <row r="56" spans="1:6" ht="15" customHeight="1" x14ac:dyDescent="0.3">
      <c r="A56" s="4" t="s">
        <v>56</v>
      </c>
      <c r="B56" s="5">
        <v>4049</v>
      </c>
      <c r="C56" s="5">
        <v>3311</v>
      </c>
    </row>
    <row r="57" spans="1:6" ht="15" customHeight="1" x14ac:dyDescent="0.3">
      <c r="A57" s="4" t="s">
        <v>57</v>
      </c>
      <c r="B57" s="5">
        <v>182</v>
      </c>
      <c r="C57" s="5">
        <v>346</v>
      </c>
    </row>
    <row r="58" spans="1:6" ht="15" customHeight="1" x14ac:dyDescent="0.3">
      <c r="A58" s="6" t="s">
        <v>58</v>
      </c>
      <c r="B58" s="7">
        <f>SUM(B48:B57)</f>
        <v>43608</v>
      </c>
      <c r="C58" s="7">
        <f>SUM(C48:C57)</f>
        <v>49454</v>
      </c>
      <c r="D58" s="8"/>
      <c r="E58" s="8"/>
      <c r="F58" s="8"/>
    </row>
    <row r="59" spans="1:6" ht="15" customHeight="1" x14ac:dyDescent="0.3">
      <c r="A59" s="6" t="s">
        <v>59</v>
      </c>
      <c r="B59" s="7">
        <f>B46+B58</f>
        <v>112422</v>
      </c>
      <c r="C59" s="7">
        <f>C46+C58</f>
        <v>110155</v>
      </c>
      <c r="D59" s="8"/>
      <c r="E59" s="8"/>
      <c r="F59" s="8"/>
    </row>
    <row r="60" spans="1:6" ht="15" customHeight="1" x14ac:dyDescent="0.3">
      <c r="A60" s="6" t="s">
        <v>60</v>
      </c>
      <c r="B60" s="7">
        <f>B37+B59</f>
        <v>192261</v>
      </c>
      <c r="C60" s="7">
        <f>C37+C59</f>
        <v>185438</v>
      </c>
      <c r="D60" s="8"/>
      <c r="E60" s="8"/>
      <c r="F60" s="8"/>
    </row>
    <row r="61" spans="1:6" ht="15" customHeight="1" x14ac:dyDescent="0.3">
      <c r="A61" s="104" t="s">
        <v>61</v>
      </c>
      <c r="B61" s="104"/>
      <c r="C61" s="104"/>
    </row>
  </sheetData>
  <mergeCells count="10">
    <mergeCell ref="A33:C33"/>
    <mergeCell ref="A34:C34"/>
    <mergeCell ref="A38:C38"/>
    <mergeCell ref="A47:C47"/>
    <mergeCell ref="A61:C61"/>
    <mergeCell ref="A1:C1"/>
    <mergeCell ref="A2:C2"/>
    <mergeCell ref="A4:C4"/>
    <mergeCell ref="A5:C5"/>
    <mergeCell ref="A20:C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
  <sheetViews>
    <sheetView showGridLines="0" topLeftCell="A2" zoomScaleNormal="100" workbookViewId="0">
      <selection activeCell="B15" sqref="B15"/>
    </sheetView>
  </sheetViews>
  <sheetFormatPr defaultColWidth="8.6640625" defaultRowHeight="14.4" x14ac:dyDescent="0.3"/>
  <cols>
    <col min="1" max="1" width="52" style="1" customWidth="1"/>
    <col min="2" max="3" width="18" style="1" customWidth="1"/>
  </cols>
  <sheetData>
    <row r="1" spans="1:6" ht="30" customHeight="1" x14ac:dyDescent="0.3">
      <c r="A1" s="100" t="s">
        <v>62</v>
      </c>
      <c r="B1" s="100"/>
      <c r="C1" s="100"/>
    </row>
    <row r="2" spans="1:6" ht="19.5" customHeight="1" x14ac:dyDescent="0.3">
      <c r="A2" s="101" t="s">
        <v>63</v>
      </c>
      <c r="B2" s="101"/>
      <c r="C2" s="101"/>
    </row>
    <row r="3" spans="1:6" ht="21.75" customHeight="1" x14ac:dyDescent="0.3">
      <c r="A3" s="2" t="s">
        <v>2</v>
      </c>
      <c r="B3" s="3" t="s">
        <v>3</v>
      </c>
      <c r="C3" s="3" t="s">
        <v>4</v>
      </c>
    </row>
    <row r="4" spans="1:6" ht="15" customHeight="1" x14ac:dyDescent="0.3">
      <c r="A4" s="102" t="s">
        <v>64</v>
      </c>
      <c r="B4" s="102"/>
      <c r="C4" s="102"/>
    </row>
    <row r="5" spans="1:6" ht="15" customHeight="1" x14ac:dyDescent="0.3">
      <c r="A5" s="4" t="s">
        <v>65</v>
      </c>
      <c r="B5" s="5">
        <v>127702</v>
      </c>
      <c r="C5" s="5">
        <v>135180</v>
      </c>
    </row>
    <row r="6" spans="1:6" ht="15" customHeight="1" x14ac:dyDescent="0.3">
      <c r="A6" s="4" t="s">
        <v>66</v>
      </c>
      <c r="B6" s="5">
        <v>1865</v>
      </c>
      <c r="C6" s="5">
        <v>1704</v>
      </c>
    </row>
    <row r="7" spans="1:6" ht="15" customHeight="1" x14ac:dyDescent="0.3">
      <c r="A7" s="6" t="s">
        <v>67</v>
      </c>
      <c r="B7" s="7">
        <f>B5+B6</f>
        <v>129567</v>
      </c>
      <c r="C7" s="7">
        <f>C5+C6</f>
        <v>136884</v>
      </c>
      <c r="D7" s="8"/>
      <c r="E7" s="8"/>
      <c r="F7" s="8"/>
    </row>
    <row r="9" spans="1:6" ht="15" customHeight="1" x14ac:dyDescent="0.3">
      <c r="A9" s="102" t="s">
        <v>68</v>
      </c>
      <c r="B9" s="102"/>
      <c r="C9" s="102"/>
    </row>
    <row r="10" spans="1:6" ht="15" customHeight="1" x14ac:dyDescent="0.3">
      <c r="A10" s="4" t="s">
        <v>69</v>
      </c>
      <c r="B10" s="5">
        <v>65779</v>
      </c>
      <c r="C10" s="5">
        <v>72337</v>
      </c>
    </row>
    <row r="11" spans="1:6" ht="15" customHeight="1" x14ac:dyDescent="0.3">
      <c r="A11" s="4" t="s">
        <v>70</v>
      </c>
      <c r="B11" s="5">
        <v>873</v>
      </c>
      <c r="C11" s="5">
        <v>363</v>
      </c>
    </row>
    <row r="12" spans="1:6" ht="15" customHeight="1" x14ac:dyDescent="0.3">
      <c r="A12" s="4" t="s">
        <v>71</v>
      </c>
      <c r="B12" s="5">
        <v>916</v>
      </c>
      <c r="C12" s="5">
        <v>-1736</v>
      </c>
    </row>
    <row r="13" spans="1:6" ht="15" customHeight="1" x14ac:dyDescent="0.3">
      <c r="A13" s="4" t="s">
        <v>72</v>
      </c>
      <c r="B13" s="5">
        <v>9144</v>
      </c>
      <c r="C13" s="5">
        <v>10011</v>
      </c>
    </row>
    <row r="14" spans="1:6" ht="15" customHeight="1" x14ac:dyDescent="0.3">
      <c r="A14" s="4" t="s">
        <v>73</v>
      </c>
      <c r="B14" s="5">
        <v>2488</v>
      </c>
      <c r="C14" s="5">
        <v>2357</v>
      </c>
    </row>
    <row r="15" spans="1:6" ht="15" customHeight="1" x14ac:dyDescent="0.3">
      <c r="A15" s="4" t="s">
        <v>74</v>
      </c>
      <c r="B15" s="5">
        <v>6486</v>
      </c>
      <c r="C15" s="5">
        <v>6108</v>
      </c>
    </row>
    <row r="16" spans="1:6" ht="15" customHeight="1" x14ac:dyDescent="0.3">
      <c r="A16" s="4" t="s">
        <v>75</v>
      </c>
      <c r="B16" s="5">
        <v>5913</v>
      </c>
      <c r="C16" s="5">
        <v>5435</v>
      </c>
    </row>
    <row r="17" spans="1:6" ht="15" customHeight="1" x14ac:dyDescent="0.3">
      <c r="A17" s="4" t="s">
        <v>76</v>
      </c>
      <c r="B17" s="5">
        <v>30121</v>
      </c>
      <c r="C17" s="5">
        <v>29868</v>
      </c>
    </row>
    <row r="18" spans="1:6" ht="15" customHeight="1" x14ac:dyDescent="0.3">
      <c r="A18" s="6" t="s">
        <v>77</v>
      </c>
      <c r="B18" s="7">
        <f>SUM(B10:B17)</f>
        <v>121720</v>
      </c>
      <c r="C18" s="7">
        <f>SUM(C10:C17)</f>
        <v>124743</v>
      </c>
      <c r="D18" s="8"/>
      <c r="E18" s="8"/>
      <c r="F18" s="8"/>
    </row>
    <row r="20" spans="1:6" ht="15" customHeight="1" x14ac:dyDescent="0.3">
      <c r="A20" s="6" t="s">
        <v>78</v>
      </c>
      <c r="B20" s="7">
        <f>B7-B18</f>
        <v>7847</v>
      </c>
      <c r="C20" s="7">
        <f>C7-C18</f>
        <v>12141</v>
      </c>
      <c r="D20" s="8"/>
      <c r="E20" s="8"/>
      <c r="F20" s="8"/>
    </row>
    <row r="21" spans="1:6" ht="15" customHeight="1" x14ac:dyDescent="0.3">
      <c r="A21" s="9" t="s">
        <v>79</v>
      </c>
      <c r="B21" s="10">
        <v>1304</v>
      </c>
      <c r="C21" s="10">
        <v>39</v>
      </c>
    </row>
    <row r="22" spans="1:6" ht="15" customHeight="1" x14ac:dyDescent="0.3">
      <c r="A22" s="6" t="s">
        <v>80</v>
      </c>
      <c r="B22" s="7">
        <f>B20-B21</f>
        <v>6543</v>
      </c>
      <c r="C22" s="7">
        <f>C20-C21</f>
        <v>12102</v>
      </c>
      <c r="D22" s="8"/>
      <c r="E22" s="8"/>
      <c r="F22" s="8"/>
    </row>
    <row r="24" spans="1:6" ht="15" customHeight="1" x14ac:dyDescent="0.3">
      <c r="A24" s="103" t="s">
        <v>81</v>
      </c>
      <c r="B24" s="103"/>
      <c r="C24" s="103"/>
    </row>
    <row r="25" spans="1:6" ht="15" customHeight="1" x14ac:dyDescent="0.3">
      <c r="A25" s="4" t="s">
        <v>82</v>
      </c>
      <c r="B25" s="5">
        <v>1729</v>
      </c>
      <c r="C25" s="5">
        <v>2422</v>
      </c>
    </row>
    <row r="26" spans="1:6" ht="15" customHeight="1" x14ac:dyDescent="0.3">
      <c r="A26" s="4" t="s">
        <v>83</v>
      </c>
      <c r="B26" s="5">
        <v>-805</v>
      </c>
      <c r="C26" s="5">
        <v>608</v>
      </c>
    </row>
    <row r="27" spans="1:6" ht="15" customHeight="1" x14ac:dyDescent="0.3">
      <c r="A27" s="4" t="s">
        <v>84</v>
      </c>
      <c r="B27" s="5">
        <v>-218</v>
      </c>
      <c r="C27" s="5">
        <v>1031</v>
      </c>
    </row>
    <row r="28" spans="1:6" ht="15" customHeight="1" x14ac:dyDescent="0.3">
      <c r="A28" s="6" t="s">
        <v>85</v>
      </c>
      <c r="B28" s="7">
        <f>B25+B26+B27</f>
        <v>706</v>
      </c>
      <c r="C28" s="7">
        <f>C25+C26+C27</f>
        <v>4061</v>
      </c>
      <c r="D28" s="8"/>
      <c r="E28" s="8"/>
      <c r="F28" s="8"/>
    </row>
    <row r="30" spans="1:6" ht="15" customHeight="1" x14ac:dyDescent="0.3">
      <c r="A30" s="6" t="s">
        <v>86</v>
      </c>
      <c r="B30" s="7">
        <f>B22-B28</f>
        <v>5837</v>
      </c>
      <c r="C30" s="7">
        <f>C22-C28</f>
        <v>8041</v>
      </c>
      <c r="D30" s="8"/>
      <c r="E30" s="8"/>
      <c r="F30" s="8"/>
    </row>
    <row r="32" spans="1:6" ht="15" customHeight="1" x14ac:dyDescent="0.3">
      <c r="A32" s="103" t="s">
        <v>87</v>
      </c>
      <c r="B32" s="103"/>
      <c r="C32" s="103"/>
    </row>
    <row r="33" spans="1:6" ht="15" customHeight="1" x14ac:dyDescent="0.3">
      <c r="A33" s="4" t="s">
        <v>88</v>
      </c>
      <c r="B33" s="5">
        <v>3</v>
      </c>
      <c r="C33" s="5">
        <v>0</v>
      </c>
    </row>
    <row r="34" spans="1:6" ht="15" customHeight="1" x14ac:dyDescent="0.3">
      <c r="A34" s="4" t="s">
        <v>89</v>
      </c>
      <c r="B34" s="5">
        <v>77</v>
      </c>
      <c r="C34" s="5">
        <v>2460</v>
      </c>
    </row>
    <row r="35" spans="1:6" ht="15" customHeight="1" x14ac:dyDescent="0.3">
      <c r="A35" s="4" t="s">
        <v>90</v>
      </c>
      <c r="B35" s="5">
        <v>555</v>
      </c>
      <c r="C35" s="5">
        <v>-248</v>
      </c>
    </row>
    <row r="36" spans="1:6" ht="15" customHeight="1" x14ac:dyDescent="0.3">
      <c r="A36" s="4" t="s">
        <v>91</v>
      </c>
      <c r="B36" s="5">
        <v>-264</v>
      </c>
      <c r="C36" s="5">
        <v>-315</v>
      </c>
    </row>
    <row r="37" spans="1:6" ht="15" customHeight="1" x14ac:dyDescent="0.3">
      <c r="A37" s="6" t="s">
        <v>92</v>
      </c>
      <c r="B37" s="7">
        <f>SUM(B33:B36)</f>
        <v>371</v>
      </c>
      <c r="C37" s="7">
        <f>SUM(C33:C36)</f>
        <v>1897</v>
      </c>
      <c r="D37" s="8"/>
      <c r="E37" s="8"/>
      <c r="F37" s="8"/>
    </row>
    <row r="39" spans="1:6" ht="15" customHeight="1" x14ac:dyDescent="0.3">
      <c r="A39" s="6" t="s">
        <v>93</v>
      </c>
      <c r="B39" s="7">
        <f>B30+B37</f>
        <v>6208</v>
      </c>
      <c r="C39" s="7">
        <f>C30+C37</f>
        <v>9938</v>
      </c>
      <c r="D39" s="8"/>
      <c r="E39" s="8"/>
      <c r="F39" s="8"/>
    </row>
    <row r="41" spans="1:6" ht="15" customHeight="1" x14ac:dyDescent="0.3">
      <c r="A41" s="102" t="s">
        <v>94</v>
      </c>
      <c r="B41" s="102"/>
      <c r="C41" s="102"/>
    </row>
    <row r="42" spans="1:6" ht="15" customHeight="1" x14ac:dyDescent="0.3">
      <c r="A42" s="4" t="s">
        <v>95</v>
      </c>
      <c r="B42" s="5">
        <v>23.94</v>
      </c>
      <c r="C42" s="5">
        <v>33.159999999999997</v>
      </c>
    </row>
    <row r="43" spans="1:6" ht="15" customHeight="1" x14ac:dyDescent="0.3">
      <c r="A43" s="4" t="s">
        <v>96</v>
      </c>
      <c r="B43" s="5">
        <v>23.87</v>
      </c>
      <c r="C43" s="5">
        <v>33.01</v>
      </c>
    </row>
    <row r="45" spans="1:6" ht="15" customHeight="1" x14ac:dyDescent="0.3">
      <c r="A45" s="104" t="s">
        <v>61</v>
      </c>
      <c r="B45" s="104"/>
      <c r="C45" s="104"/>
    </row>
  </sheetData>
  <mergeCells count="8">
    <mergeCell ref="A32:C32"/>
    <mergeCell ref="A41:C41"/>
    <mergeCell ref="A45:C45"/>
    <mergeCell ref="A1:C1"/>
    <mergeCell ref="A2:C2"/>
    <mergeCell ref="A4:C4"/>
    <mergeCell ref="A9:C9"/>
    <mergeCell ref="A24:C2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7"/>
  <sheetViews>
    <sheetView showGridLines="0" topLeftCell="A22" zoomScaleNormal="100" workbookViewId="0">
      <selection activeCell="A56" sqref="A56:XFD57"/>
    </sheetView>
  </sheetViews>
  <sheetFormatPr defaultColWidth="8.6640625" defaultRowHeight="14.4" x14ac:dyDescent="0.3"/>
  <cols>
    <col min="1" max="1" width="52" style="1" customWidth="1"/>
    <col min="2" max="3" width="18" style="1" customWidth="1"/>
  </cols>
  <sheetData>
    <row r="1" spans="1:3" ht="30" customHeight="1" x14ac:dyDescent="0.3">
      <c r="A1" s="100" t="s">
        <v>97</v>
      </c>
      <c r="B1" s="100"/>
      <c r="C1" s="100"/>
    </row>
    <row r="2" spans="1:3" ht="15" customHeight="1" x14ac:dyDescent="0.3">
      <c r="A2" s="101" t="s">
        <v>1</v>
      </c>
      <c r="B2" s="101"/>
      <c r="C2" s="101"/>
    </row>
    <row r="3" spans="1:3" ht="21.75" customHeight="1" x14ac:dyDescent="0.3">
      <c r="A3" s="2" t="s">
        <v>2</v>
      </c>
      <c r="B3" s="3" t="s">
        <v>3</v>
      </c>
      <c r="C3" s="3" t="s">
        <v>4</v>
      </c>
    </row>
    <row r="4" spans="1:3" ht="15" customHeight="1" x14ac:dyDescent="0.3">
      <c r="A4" s="102" t="s">
        <v>5</v>
      </c>
      <c r="B4" s="102"/>
      <c r="C4" s="102"/>
    </row>
    <row r="5" spans="1:3" ht="15" customHeight="1" x14ac:dyDescent="0.3">
      <c r="A5" s="103" t="s">
        <v>6</v>
      </c>
      <c r="B5" s="103"/>
      <c r="C5" s="103"/>
    </row>
    <row r="6" spans="1:3" ht="15" customHeight="1" x14ac:dyDescent="0.3">
      <c r="A6" s="4" t="s">
        <v>7</v>
      </c>
      <c r="B6" s="5">
        <v>116814</v>
      </c>
      <c r="C6" s="5">
        <v>105123</v>
      </c>
    </row>
    <row r="7" spans="1:3" ht="15" customHeight="1" x14ac:dyDescent="0.3">
      <c r="A7" s="4" t="s">
        <v>8</v>
      </c>
      <c r="B7" s="5">
        <v>20478</v>
      </c>
      <c r="C7" s="5">
        <v>29216</v>
      </c>
    </row>
    <row r="8" spans="1:3" ht="15" customHeight="1" x14ac:dyDescent="0.3">
      <c r="A8" s="4" t="s">
        <v>98</v>
      </c>
      <c r="B8" s="5">
        <v>163</v>
      </c>
      <c r="C8" s="5">
        <v>140</v>
      </c>
    </row>
    <row r="9" spans="1:3" ht="15" customHeight="1" x14ac:dyDescent="0.3">
      <c r="A9" s="4" t="s">
        <v>9</v>
      </c>
      <c r="B9" s="5">
        <v>4837</v>
      </c>
      <c r="C9" s="5">
        <v>4477</v>
      </c>
    </row>
    <row r="10" spans="1:3" ht="15" customHeight="1" x14ac:dyDescent="0.3">
      <c r="A10" s="4" t="s">
        <v>10</v>
      </c>
      <c r="B10" s="5">
        <v>643</v>
      </c>
      <c r="C10" s="5">
        <v>639</v>
      </c>
    </row>
    <row r="11" spans="1:3" ht="15" customHeight="1" x14ac:dyDescent="0.3">
      <c r="A11" s="4" t="s">
        <v>99</v>
      </c>
      <c r="B11" s="5">
        <v>2009</v>
      </c>
      <c r="C11" s="5">
        <v>2082</v>
      </c>
    </row>
    <row r="12" spans="1:3" ht="15" customHeight="1" x14ac:dyDescent="0.3">
      <c r="A12" s="4" t="s">
        <v>12</v>
      </c>
      <c r="B12" s="5">
        <v>529</v>
      </c>
      <c r="C12" s="5">
        <v>460</v>
      </c>
    </row>
    <row r="13" spans="1:3" ht="15" customHeight="1" x14ac:dyDescent="0.3">
      <c r="A13" s="4" t="s">
        <v>100</v>
      </c>
      <c r="B13" s="5">
        <v>3689</v>
      </c>
      <c r="C13" s="5">
        <v>1709</v>
      </c>
    </row>
    <row r="14" spans="1:3" ht="15" customHeight="1" x14ac:dyDescent="0.3">
      <c r="A14" s="4" t="s">
        <v>14</v>
      </c>
      <c r="B14" s="5">
        <v>5709</v>
      </c>
      <c r="C14" s="5">
        <v>5534</v>
      </c>
    </row>
    <row r="15" spans="1:3" ht="15" customHeight="1" x14ac:dyDescent="0.3">
      <c r="A15" s="4" t="s">
        <v>15</v>
      </c>
      <c r="B15" s="5">
        <v>70</v>
      </c>
      <c r="C15" s="5">
        <v>120</v>
      </c>
    </row>
    <row r="16" spans="1:3" ht="15" customHeight="1" x14ac:dyDescent="0.3">
      <c r="A16" s="4" t="s">
        <v>16</v>
      </c>
      <c r="B16" s="5">
        <v>116</v>
      </c>
      <c r="C16" s="5">
        <v>88</v>
      </c>
    </row>
    <row r="17" spans="1:6" ht="15" customHeight="1" x14ac:dyDescent="0.3">
      <c r="A17" s="4" t="s">
        <v>17</v>
      </c>
      <c r="B17" s="5">
        <v>6899</v>
      </c>
      <c r="C17" s="5">
        <v>6135</v>
      </c>
    </row>
    <row r="18" spans="1:6" ht="15" customHeight="1" x14ac:dyDescent="0.3">
      <c r="A18" s="4" t="s">
        <v>18</v>
      </c>
      <c r="B18" s="5">
        <v>829</v>
      </c>
      <c r="C18" s="5">
        <v>1038</v>
      </c>
    </row>
    <row r="19" spans="1:6" ht="15" customHeight="1" x14ac:dyDescent="0.3">
      <c r="A19" s="4" t="s">
        <v>101</v>
      </c>
      <c r="B19" s="5">
        <v>297</v>
      </c>
      <c r="C19" s="5">
        <v>300</v>
      </c>
    </row>
    <row r="20" spans="1:6" ht="15" customHeight="1" x14ac:dyDescent="0.3">
      <c r="A20" s="4" t="s">
        <v>19</v>
      </c>
      <c r="B20" s="5">
        <v>6924</v>
      </c>
      <c r="C20" s="5">
        <v>6603</v>
      </c>
    </row>
    <row r="21" spans="1:6" ht="15" customHeight="1" x14ac:dyDescent="0.3">
      <c r="A21" s="6" t="s">
        <v>20</v>
      </c>
      <c r="B21" s="7">
        <f>SUM(B5:B20)</f>
        <v>170006</v>
      </c>
      <c r="C21" s="7">
        <f>SUM(C5:C20)</f>
        <v>163664</v>
      </c>
      <c r="D21" s="8"/>
      <c r="E21" s="8"/>
      <c r="F21" s="8"/>
    </row>
    <row r="22" spans="1:6" ht="15" customHeight="1" x14ac:dyDescent="0.3">
      <c r="A22" s="103" t="s">
        <v>21</v>
      </c>
      <c r="B22" s="103"/>
      <c r="C22" s="103"/>
    </row>
    <row r="23" spans="1:6" ht="15" customHeight="1" x14ac:dyDescent="0.3">
      <c r="A23" s="4" t="s">
        <v>22</v>
      </c>
      <c r="B23" s="5">
        <v>34956</v>
      </c>
      <c r="C23" s="5">
        <v>37815</v>
      </c>
    </row>
    <row r="24" spans="1:6" ht="15" customHeight="1" x14ac:dyDescent="0.3">
      <c r="A24" s="4" t="s">
        <v>23</v>
      </c>
      <c r="B24" s="5">
        <v>5819</v>
      </c>
      <c r="C24" s="5">
        <v>3</v>
      </c>
    </row>
    <row r="25" spans="1:6" ht="15" customHeight="1" x14ac:dyDescent="0.3">
      <c r="A25" s="4" t="s">
        <v>24</v>
      </c>
      <c r="B25" s="5">
        <v>8415</v>
      </c>
      <c r="C25" s="5">
        <v>7548</v>
      </c>
    </row>
    <row r="26" spans="1:6" ht="15" customHeight="1" x14ac:dyDescent="0.3">
      <c r="A26" s="4" t="s">
        <v>25</v>
      </c>
      <c r="B26" s="5">
        <v>11655</v>
      </c>
      <c r="C26" s="5">
        <v>8030</v>
      </c>
    </row>
    <row r="27" spans="1:6" ht="15" customHeight="1" x14ac:dyDescent="0.3">
      <c r="A27" s="4" t="s">
        <v>26</v>
      </c>
      <c r="B27" s="5">
        <v>1630</v>
      </c>
      <c r="C27" s="5">
        <v>4318</v>
      </c>
    </row>
    <row r="28" spans="1:6" ht="15" customHeight="1" x14ac:dyDescent="0.3">
      <c r="A28" s="4" t="s">
        <v>27</v>
      </c>
      <c r="B28" s="5">
        <v>2</v>
      </c>
      <c r="C28" s="5">
        <v>4</v>
      </c>
    </row>
    <row r="29" spans="1:6" ht="15" customHeight="1" x14ac:dyDescent="0.3">
      <c r="A29" s="4" t="s">
        <v>28</v>
      </c>
      <c r="B29" s="5">
        <v>284</v>
      </c>
      <c r="C29" s="5">
        <v>173</v>
      </c>
    </row>
    <row r="30" spans="1:6" ht="15" customHeight="1" x14ac:dyDescent="0.3">
      <c r="A30" s="4" t="s">
        <v>29</v>
      </c>
      <c r="B30" s="5">
        <v>1247</v>
      </c>
      <c r="C30" s="5">
        <v>1752</v>
      </c>
    </row>
    <row r="31" spans="1:6" ht="15" customHeight="1" x14ac:dyDescent="0.3">
      <c r="A31" s="4" t="s">
        <v>102</v>
      </c>
      <c r="B31" s="5">
        <v>15</v>
      </c>
      <c r="C31" s="5">
        <v>5</v>
      </c>
    </row>
    <row r="32" spans="1:6" ht="15" customHeight="1" x14ac:dyDescent="0.3">
      <c r="A32" s="4" t="s">
        <v>30</v>
      </c>
      <c r="B32" s="5">
        <v>6684</v>
      </c>
      <c r="C32" s="5">
        <v>4885</v>
      </c>
    </row>
    <row r="33" spans="1:6" ht="15" customHeight="1" x14ac:dyDescent="0.3">
      <c r="A33" s="4" t="s">
        <v>103</v>
      </c>
      <c r="B33" s="5">
        <v>1</v>
      </c>
      <c r="C33" s="5">
        <v>0</v>
      </c>
    </row>
    <row r="34" spans="1:6" ht="15" customHeight="1" x14ac:dyDescent="0.3">
      <c r="A34" s="6" t="s">
        <v>31</v>
      </c>
      <c r="B34" s="7">
        <f>SUM(B23:B33)</f>
        <v>70708</v>
      </c>
      <c r="C34" s="7">
        <f>SUM(C23:C33)</f>
        <v>64533</v>
      </c>
      <c r="D34" s="8"/>
      <c r="E34" s="8"/>
      <c r="F34" s="8"/>
    </row>
    <row r="35" spans="1:6" ht="15" customHeight="1" x14ac:dyDescent="0.3">
      <c r="A35" s="6" t="s">
        <v>32</v>
      </c>
      <c r="B35" s="7">
        <f>B21+B34</f>
        <v>240714</v>
      </c>
      <c r="C35" s="7">
        <f>C21+C34</f>
        <v>228197</v>
      </c>
      <c r="D35" s="8"/>
      <c r="E35" s="8"/>
      <c r="F35" s="8"/>
    </row>
    <row r="37" spans="1:6" ht="15" customHeight="1" x14ac:dyDescent="0.3">
      <c r="A37" s="102" t="s">
        <v>33</v>
      </c>
      <c r="B37" s="102"/>
      <c r="C37" s="102"/>
    </row>
    <row r="38" spans="1:6" ht="15" customHeight="1" x14ac:dyDescent="0.3">
      <c r="A38" s="103" t="s">
        <v>34</v>
      </c>
      <c r="B38" s="103"/>
      <c r="C38" s="103"/>
    </row>
    <row r="39" spans="1:6" ht="15" customHeight="1" x14ac:dyDescent="0.3">
      <c r="A39" s="4" t="s">
        <v>35</v>
      </c>
      <c r="B39" s="5">
        <v>305</v>
      </c>
      <c r="C39" s="5">
        <v>305</v>
      </c>
    </row>
    <row r="40" spans="1:6" ht="15" customHeight="1" x14ac:dyDescent="0.3">
      <c r="A40" s="4" t="s">
        <v>104</v>
      </c>
      <c r="B40" s="5">
        <v>79191</v>
      </c>
      <c r="C40" s="5">
        <v>77364</v>
      </c>
    </row>
    <row r="41" spans="1:6" ht="15" customHeight="1" x14ac:dyDescent="0.3">
      <c r="A41" s="4" t="s">
        <v>105</v>
      </c>
      <c r="B41" s="5">
        <v>2170</v>
      </c>
      <c r="C41" s="5">
        <v>2107</v>
      </c>
    </row>
    <row r="42" spans="1:6" ht="15" customHeight="1" x14ac:dyDescent="0.3">
      <c r="A42" s="6" t="s">
        <v>37</v>
      </c>
      <c r="B42" s="7">
        <f>SUM(B39:B41)</f>
        <v>81666</v>
      </c>
      <c r="C42" s="7">
        <f>SUM(C39:C41)</f>
        <v>79776</v>
      </c>
      <c r="D42" s="8"/>
      <c r="E42" s="8"/>
      <c r="F42" s="8"/>
    </row>
    <row r="43" spans="1:6" ht="15" customHeight="1" x14ac:dyDescent="0.3">
      <c r="A43" s="103" t="s">
        <v>38</v>
      </c>
      <c r="B43" s="103"/>
      <c r="C43" s="103"/>
    </row>
    <row r="44" spans="1:6" ht="15" customHeight="1" x14ac:dyDescent="0.3">
      <c r="A44" s="4" t="s">
        <v>39</v>
      </c>
      <c r="B44" s="5">
        <v>81983</v>
      </c>
      <c r="C44" s="5">
        <v>67354</v>
      </c>
    </row>
    <row r="45" spans="1:6" ht="15" customHeight="1" x14ac:dyDescent="0.3">
      <c r="A45" s="4" t="s">
        <v>40</v>
      </c>
      <c r="B45" s="5">
        <v>2399</v>
      </c>
      <c r="C45" s="5">
        <v>2060</v>
      </c>
    </row>
    <row r="46" spans="1:6" ht="15" customHeight="1" x14ac:dyDescent="0.3">
      <c r="A46" s="4" t="s">
        <v>41</v>
      </c>
      <c r="B46" s="5">
        <v>0</v>
      </c>
      <c r="C46" s="5">
        <v>10</v>
      </c>
    </row>
    <row r="47" spans="1:6" ht="15" customHeight="1" x14ac:dyDescent="0.3">
      <c r="A47" s="4" t="s">
        <v>42</v>
      </c>
      <c r="B47" s="5">
        <v>3124</v>
      </c>
      <c r="C47" s="5">
        <v>1774</v>
      </c>
    </row>
    <row r="48" spans="1:6" ht="15" customHeight="1" x14ac:dyDescent="0.3">
      <c r="A48" s="4" t="s">
        <v>43</v>
      </c>
      <c r="B48" s="5">
        <v>1399</v>
      </c>
      <c r="C48" s="5">
        <v>1451</v>
      </c>
    </row>
    <row r="49" spans="1:6" ht="15" customHeight="1" x14ac:dyDescent="0.3">
      <c r="A49" s="4" t="s">
        <v>44</v>
      </c>
      <c r="B49" s="5">
        <v>9510</v>
      </c>
      <c r="C49" s="5">
        <v>9659</v>
      </c>
    </row>
    <row r="50" spans="1:6" ht="15" customHeight="1" x14ac:dyDescent="0.3">
      <c r="A50" s="4" t="s">
        <v>45</v>
      </c>
      <c r="B50" s="5">
        <v>35</v>
      </c>
      <c r="C50" s="5">
        <v>49</v>
      </c>
    </row>
    <row r="51" spans="1:6" ht="15" customHeight="1" x14ac:dyDescent="0.3">
      <c r="A51" s="6" t="s">
        <v>46</v>
      </c>
      <c r="B51" s="7">
        <f>SUM(B44:B50)</f>
        <v>98450</v>
      </c>
      <c r="C51" s="7">
        <f>SUM(C44:C50)</f>
        <v>82357</v>
      </c>
      <c r="D51" s="8"/>
      <c r="E51" s="8"/>
      <c r="F51" s="8"/>
    </row>
    <row r="52" spans="1:6" ht="15" customHeight="1" x14ac:dyDescent="0.3">
      <c r="A52" s="103" t="s">
        <v>47</v>
      </c>
      <c r="B52" s="103"/>
      <c r="C52" s="103"/>
    </row>
    <row r="53" spans="1:6" ht="15" customHeight="1" x14ac:dyDescent="0.3">
      <c r="A53" s="4" t="s">
        <v>48</v>
      </c>
      <c r="B53" s="5">
        <v>13974</v>
      </c>
      <c r="C53" s="5">
        <v>18221</v>
      </c>
    </row>
    <row r="54" spans="1:6" ht="15" customHeight="1" x14ac:dyDescent="0.3">
      <c r="A54" s="4" t="s">
        <v>49</v>
      </c>
      <c r="B54" s="5">
        <v>396</v>
      </c>
      <c r="C54" s="5">
        <v>349</v>
      </c>
    </row>
    <row r="55" spans="1:6" ht="15" customHeight="1" x14ac:dyDescent="0.3">
      <c r="A55" s="4" t="s">
        <v>50</v>
      </c>
      <c r="B55" s="5">
        <v>20534</v>
      </c>
      <c r="C55" s="5">
        <v>17654</v>
      </c>
    </row>
    <row r="56" spans="1:6" ht="15" customHeight="1" x14ac:dyDescent="0.3">
      <c r="A56" s="4" t="s">
        <v>51</v>
      </c>
      <c r="B56" s="5">
        <v>1316</v>
      </c>
      <c r="C56" s="5">
        <v>1100</v>
      </c>
    </row>
    <row r="57" spans="1:6" ht="15" customHeight="1" x14ac:dyDescent="0.3">
      <c r="A57" s="4" t="s">
        <v>52</v>
      </c>
      <c r="B57" s="5">
        <v>10702</v>
      </c>
      <c r="C57" s="5">
        <v>14611</v>
      </c>
    </row>
    <row r="58" spans="1:6" ht="15" customHeight="1" x14ac:dyDescent="0.3">
      <c r="A58" s="4" t="s">
        <v>53</v>
      </c>
      <c r="B58" s="5">
        <v>227</v>
      </c>
      <c r="C58" s="5">
        <v>329</v>
      </c>
    </row>
    <row r="59" spans="1:6" ht="15" customHeight="1" x14ac:dyDescent="0.3">
      <c r="A59" s="4" t="s">
        <v>54</v>
      </c>
      <c r="B59" s="5">
        <v>7388</v>
      </c>
      <c r="C59" s="5">
        <v>8446</v>
      </c>
    </row>
    <row r="60" spans="1:6" ht="15" customHeight="1" x14ac:dyDescent="0.3">
      <c r="A60" s="4" t="s">
        <v>55</v>
      </c>
      <c r="B60" s="5">
        <v>285</v>
      </c>
      <c r="C60" s="5">
        <v>439</v>
      </c>
    </row>
    <row r="61" spans="1:6" ht="15" customHeight="1" x14ac:dyDescent="0.3">
      <c r="A61" s="4" t="s">
        <v>56</v>
      </c>
      <c r="B61" s="5">
        <v>5606</v>
      </c>
      <c r="C61" s="5">
        <v>4564</v>
      </c>
    </row>
    <row r="62" spans="1:6" ht="15" customHeight="1" x14ac:dyDescent="0.3">
      <c r="A62" s="4" t="s">
        <v>57</v>
      </c>
      <c r="B62" s="5">
        <v>198</v>
      </c>
      <c r="C62" s="5">
        <v>352</v>
      </c>
    </row>
    <row r="63" spans="1:6" ht="15" customHeight="1" x14ac:dyDescent="0.3">
      <c r="A63" s="6" t="s">
        <v>58</v>
      </c>
      <c r="B63" s="7">
        <f>SUM(B53:B62)</f>
        <v>60626</v>
      </c>
      <c r="C63" s="7">
        <f>SUM(C53:C62)</f>
        <v>66065</v>
      </c>
      <c r="D63" s="8"/>
      <c r="E63" s="8"/>
      <c r="F63" s="8"/>
    </row>
    <row r="64" spans="1:6" ht="15" customHeight="1" x14ac:dyDescent="0.3">
      <c r="A64" s="6" t="s">
        <v>59</v>
      </c>
      <c r="B64" s="7">
        <f>B51+B63</f>
        <v>159076</v>
      </c>
      <c r="C64" s="7">
        <f>C51+C63</f>
        <v>148422</v>
      </c>
      <c r="D64" s="8"/>
      <c r="E64" s="8"/>
      <c r="F64" s="8"/>
    </row>
    <row r="65" spans="1:6" ht="15" customHeight="1" x14ac:dyDescent="0.3">
      <c r="A65" s="6" t="s">
        <v>60</v>
      </c>
      <c r="B65" s="7">
        <f>B42+B64</f>
        <v>240742</v>
      </c>
      <c r="C65" s="7">
        <f>C42+C64</f>
        <v>228198</v>
      </c>
      <c r="D65" s="8"/>
      <c r="E65" s="8"/>
      <c r="F65" s="8"/>
    </row>
    <row r="67" spans="1:6" ht="15" customHeight="1" x14ac:dyDescent="0.3">
      <c r="A67" s="104" t="s">
        <v>106</v>
      </c>
      <c r="B67" s="104"/>
      <c r="C67" s="104"/>
    </row>
  </sheetData>
  <mergeCells count="10">
    <mergeCell ref="A37:C37"/>
    <mergeCell ref="A38:C38"/>
    <mergeCell ref="A43:C43"/>
    <mergeCell ref="A52:C52"/>
    <mergeCell ref="A67:C67"/>
    <mergeCell ref="A1:C1"/>
    <mergeCell ref="A2:C2"/>
    <mergeCell ref="A4:C4"/>
    <mergeCell ref="A5:C5"/>
    <mergeCell ref="A22:C2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2"/>
  <sheetViews>
    <sheetView showGridLines="0" topLeftCell="A8" zoomScaleNormal="100" workbookViewId="0">
      <selection activeCell="A10" sqref="A10:B17"/>
    </sheetView>
  </sheetViews>
  <sheetFormatPr defaultColWidth="8.6640625" defaultRowHeight="14.4" x14ac:dyDescent="0.3"/>
  <cols>
    <col min="1" max="1" width="55" style="1" customWidth="1"/>
    <col min="2" max="3" width="18" style="1" customWidth="1"/>
  </cols>
  <sheetData>
    <row r="1" spans="1:8" ht="30" customHeight="1" x14ac:dyDescent="0.3">
      <c r="A1" s="100" t="s">
        <v>107</v>
      </c>
      <c r="B1" s="100"/>
      <c r="C1" s="100"/>
    </row>
    <row r="2" spans="1:8" ht="15" customHeight="1" x14ac:dyDescent="0.3">
      <c r="A2" s="101" t="s">
        <v>63</v>
      </c>
      <c r="B2" s="101"/>
      <c r="C2" s="101"/>
    </row>
    <row r="3" spans="1:8" ht="21.75" customHeight="1" x14ac:dyDescent="0.3">
      <c r="A3" s="2" t="s">
        <v>2</v>
      </c>
      <c r="B3" s="3" t="s">
        <v>3</v>
      </c>
      <c r="C3" s="3" t="s">
        <v>4</v>
      </c>
    </row>
    <row r="4" spans="1:8" ht="15" customHeight="1" x14ac:dyDescent="0.3">
      <c r="A4" s="102" t="s">
        <v>64</v>
      </c>
      <c r="B4" s="102"/>
      <c r="C4" s="102"/>
    </row>
    <row r="5" spans="1:8" ht="15" customHeight="1" x14ac:dyDescent="0.3">
      <c r="A5" s="9" t="s">
        <v>108</v>
      </c>
      <c r="B5" s="10">
        <v>168824</v>
      </c>
      <c r="C5" s="10">
        <v>175006</v>
      </c>
    </row>
    <row r="6" spans="1:8" ht="15" customHeight="1" x14ac:dyDescent="0.3">
      <c r="A6" s="9" t="s">
        <v>109</v>
      </c>
      <c r="B6" s="10">
        <v>694</v>
      </c>
      <c r="C6" s="10">
        <v>1004</v>
      </c>
    </row>
    <row r="7" spans="1:8" ht="15" customHeight="1" x14ac:dyDescent="0.3">
      <c r="A7" s="6" t="s">
        <v>67</v>
      </c>
      <c r="B7" s="7">
        <f>B5+B6</f>
        <v>169518</v>
      </c>
      <c r="C7" s="7">
        <f>C5+C6</f>
        <v>176010</v>
      </c>
      <c r="D7" s="8"/>
      <c r="E7" s="8"/>
      <c r="F7" s="8"/>
    </row>
    <row r="9" spans="1:8" ht="15" customHeight="1" x14ac:dyDescent="0.3">
      <c r="A9" s="102" t="s">
        <v>68</v>
      </c>
      <c r="B9" s="102"/>
      <c r="C9" s="102"/>
    </row>
    <row r="10" spans="1:8" ht="15" customHeight="1" x14ac:dyDescent="0.3">
      <c r="A10" s="4" t="s">
        <v>69</v>
      </c>
      <c r="B10" s="5">
        <v>88324</v>
      </c>
      <c r="C10" s="5">
        <v>93590</v>
      </c>
    </row>
    <row r="11" spans="1:8" ht="15" customHeight="1" x14ac:dyDescent="0.3">
      <c r="A11" s="4" t="s">
        <v>70</v>
      </c>
      <c r="B11" s="5">
        <v>845</v>
      </c>
      <c r="C11" s="5">
        <v>1164</v>
      </c>
    </row>
    <row r="12" spans="1:8" ht="15" customHeight="1" x14ac:dyDescent="0.3">
      <c r="A12" s="4" t="s">
        <v>71</v>
      </c>
      <c r="B12" s="5">
        <v>829</v>
      </c>
      <c r="C12" s="5">
        <v>-3087</v>
      </c>
    </row>
    <row r="13" spans="1:8" ht="15" customHeight="1" x14ac:dyDescent="0.3">
      <c r="A13" s="4" t="s">
        <v>72</v>
      </c>
      <c r="B13" s="5">
        <v>9144</v>
      </c>
      <c r="C13" s="5">
        <v>10011</v>
      </c>
    </row>
    <row r="14" spans="1:8" ht="15" customHeight="1" x14ac:dyDescent="0.3">
      <c r="A14" s="4" t="s">
        <v>73</v>
      </c>
      <c r="B14" s="5">
        <v>4798</v>
      </c>
      <c r="C14" s="5">
        <v>4591</v>
      </c>
    </row>
    <row r="15" spans="1:8" ht="15" customHeight="1" x14ac:dyDescent="0.3">
      <c r="A15" s="4" t="s">
        <v>110</v>
      </c>
      <c r="B15" s="5">
        <v>8412</v>
      </c>
      <c r="C15" s="5">
        <v>8105</v>
      </c>
      <c r="H15" s="42" t="s">
        <v>140</v>
      </c>
    </row>
    <row r="16" spans="1:8" ht="15" customHeight="1" x14ac:dyDescent="0.3">
      <c r="A16" s="4" t="s">
        <v>75</v>
      </c>
      <c r="B16" s="5">
        <v>9309</v>
      </c>
      <c r="C16" s="5">
        <v>8172</v>
      </c>
    </row>
    <row r="17" spans="1:6" ht="15" customHeight="1" x14ac:dyDescent="0.3">
      <c r="A17" s="4" t="s">
        <v>76</v>
      </c>
      <c r="B17" s="5">
        <v>41980</v>
      </c>
      <c r="C17" s="5">
        <v>40501</v>
      </c>
    </row>
    <row r="18" spans="1:6" ht="15" customHeight="1" x14ac:dyDescent="0.3">
      <c r="A18" s="6" t="s">
        <v>77</v>
      </c>
      <c r="B18" s="7">
        <f>SUM(B10:B17)</f>
        <v>163641</v>
      </c>
      <c r="C18" s="7">
        <f>SUM(C10:C17)</f>
        <v>163047</v>
      </c>
      <c r="D18" s="8"/>
      <c r="E18" s="8"/>
      <c r="F18" s="8"/>
    </row>
    <row r="20" spans="1:6" ht="15" customHeight="1" x14ac:dyDescent="0.3">
      <c r="A20" s="6" t="s">
        <v>111</v>
      </c>
      <c r="B20" s="7">
        <f>B7-B18</f>
        <v>5877</v>
      </c>
      <c r="C20" s="7">
        <f>C7-C18</f>
        <v>12963</v>
      </c>
      <c r="D20" s="8"/>
      <c r="E20" s="8"/>
      <c r="F20" s="8"/>
    </row>
    <row r="21" spans="1:6" ht="15" customHeight="1" x14ac:dyDescent="0.3">
      <c r="A21" s="9" t="s">
        <v>112</v>
      </c>
      <c r="B21" s="10">
        <v>-311</v>
      </c>
      <c r="C21" s="10">
        <v>-172</v>
      </c>
    </row>
    <row r="22" spans="1:6" ht="15" customHeight="1" x14ac:dyDescent="0.3">
      <c r="A22" s="6" t="s">
        <v>113</v>
      </c>
      <c r="B22" s="7">
        <f>B20+B21</f>
        <v>5566</v>
      </c>
      <c r="C22" s="7">
        <f>C20+C21</f>
        <v>12791</v>
      </c>
      <c r="D22" s="8"/>
      <c r="E22" s="8"/>
      <c r="F22" s="8"/>
    </row>
    <row r="23" spans="1:6" ht="15" customHeight="1" x14ac:dyDescent="0.3">
      <c r="A23" s="9" t="s">
        <v>114</v>
      </c>
      <c r="B23" s="10">
        <v>489</v>
      </c>
      <c r="C23" s="10">
        <v>-589</v>
      </c>
    </row>
    <row r="24" spans="1:6" ht="15" customHeight="1" x14ac:dyDescent="0.3">
      <c r="A24" s="6" t="s">
        <v>115</v>
      </c>
      <c r="B24" s="7">
        <f>B22-B23</f>
        <v>5077</v>
      </c>
      <c r="C24" s="7">
        <f>C22-C23</f>
        <v>13380</v>
      </c>
      <c r="D24" s="8"/>
      <c r="E24" s="8"/>
      <c r="F24" s="8"/>
    </row>
    <row r="26" spans="1:6" ht="15" customHeight="1" x14ac:dyDescent="0.3">
      <c r="A26" s="103" t="s">
        <v>81</v>
      </c>
      <c r="B26" s="103"/>
      <c r="C26" s="103"/>
    </row>
    <row r="27" spans="1:6" ht="15" customHeight="1" x14ac:dyDescent="0.3">
      <c r="A27" s="4" t="s">
        <v>82</v>
      </c>
      <c r="B27" s="5">
        <v>1986</v>
      </c>
      <c r="C27" s="5">
        <v>2643</v>
      </c>
    </row>
    <row r="28" spans="1:6" ht="15" customHeight="1" x14ac:dyDescent="0.3">
      <c r="A28" s="4" t="s">
        <v>83</v>
      </c>
      <c r="B28" s="5">
        <v>-182</v>
      </c>
      <c r="C28" s="5">
        <v>733</v>
      </c>
    </row>
    <row r="29" spans="1:6" ht="15" customHeight="1" x14ac:dyDescent="0.3">
      <c r="A29" s="4" t="s">
        <v>116</v>
      </c>
      <c r="B29" s="5">
        <v>-218</v>
      </c>
      <c r="C29" s="5">
        <v>1031</v>
      </c>
    </row>
    <row r="30" spans="1:6" ht="15" customHeight="1" x14ac:dyDescent="0.3">
      <c r="A30" s="6" t="s">
        <v>117</v>
      </c>
      <c r="B30" s="7">
        <f>B27+B28+B29</f>
        <v>1586</v>
      </c>
      <c r="C30" s="7">
        <f>C27+C28+C29</f>
        <v>4407</v>
      </c>
      <c r="D30" s="8"/>
      <c r="E30" s="8"/>
      <c r="F30" s="8"/>
    </row>
    <row r="32" spans="1:6" ht="15" customHeight="1" x14ac:dyDescent="0.3">
      <c r="A32" s="6" t="s">
        <v>118</v>
      </c>
      <c r="B32" s="7">
        <f>B24-B30</f>
        <v>3491</v>
      </c>
      <c r="C32" s="7">
        <f>C24-C30</f>
        <v>8973</v>
      </c>
      <c r="D32" s="8"/>
      <c r="E32" s="8"/>
      <c r="F32" s="8"/>
    </row>
    <row r="34" spans="1:6" ht="15" customHeight="1" x14ac:dyDescent="0.3">
      <c r="A34" s="103" t="s">
        <v>119</v>
      </c>
      <c r="B34" s="103"/>
      <c r="C34" s="103"/>
    </row>
    <row r="35" spans="1:6" ht="15" customHeight="1" x14ac:dyDescent="0.3">
      <c r="A35" s="4" t="s">
        <v>120</v>
      </c>
      <c r="B35" s="5">
        <v>3504</v>
      </c>
      <c r="C35" s="5">
        <v>8812</v>
      </c>
    </row>
    <row r="36" spans="1:6" ht="15" customHeight="1" x14ac:dyDescent="0.3">
      <c r="A36" s="4" t="s">
        <v>121</v>
      </c>
      <c r="B36" s="5">
        <v>-13</v>
      </c>
      <c r="C36" s="5">
        <v>161</v>
      </c>
    </row>
    <row r="38" spans="1:6" ht="15" customHeight="1" x14ac:dyDescent="0.3">
      <c r="A38" s="103" t="s">
        <v>87</v>
      </c>
      <c r="B38" s="103"/>
      <c r="C38" s="103"/>
    </row>
    <row r="39" spans="1:6" ht="15" customHeight="1" x14ac:dyDescent="0.3">
      <c r="A39" s="4" t="s">
        <v>122</v>
      </c>
      <c r="B39" s="5">
        <v>43</v>
      </c>
      <c r="C39" s="5">
        <v>4</v>
      </c>
    </row>
    <row r="40" spans="1:6" ht="15" customHeight="1" x14ac:dyDescent="0.3">
      <c r="A40" s="4" t="s">
        <v>123</v>
      </c>
      <c r="B40" s="5">
        <v>88</v>
      </c>
      <c r="C40" s="5">
        <v>2929</v>
      </c>
    </row>
    <row r="41" spans="1:6" ht="15" customHeight="1" x14ac:dyDescent="0.3">
      <c r="A41" s="4" t="s">
        <v>124</v>
      </c>
      <c r="B41" s="5">
        <v>551</v>
      </c>
      <c r="C41" s="5">
        <v>-427</v>
      </c>
    </row>
    <row r="42" spans="1:6" ht="15" customHeight="1" x14ac:dyDescent="0.3">
      <c r="A42" s="4" t="s">
        <v>125</v>
      </c>
      <c r="B42" s="5">
        <v>-303</v>
      </c>
      <c r="C42" s="5">
        <v>-122</v>
      </c>
    </row>
    <row r="43" spans="1:6" ht="15" customHeight="1" x14ac:dyDescent="0.3">
      <c r="A43" s="4" t="s">
        <v>91</v>
      </c>
      <c r="B43" s="5">
        <v>-286</v>
      </c>
      <c r="C43" s="5">
        <v>-307</v>
      </c>
    </row>
    <row r="44" spans="1:6" ht="15" customHeight="1" x14ac:dyDescent="0.3">
      <c r="A44" s="6" t="s">
        <v>126</v>
      </c>
      <c r="B44" s="7">
        <f>SUM(B39:B43)</f>
        <v>93</v>
      </c>
      <c r="C44" s="7">
        <f>SUM(C39:C43)</f>
        <v>2077</v>
      </c>
      <c r="D44" s="8"/>
      <c r="E44" s="8"/>
      <c r="F44" s="8"/>
    </row>
    <row r="46" spans="1:6" ht="15" customHeight="1" x14ac:dyDescent="0.3">
      <c r="A46" s="6" t="s">
        <v>127</v>
      </c>
      <c r="B46" s="7">
        <f>B32+B44</f>
        <v>3584</v>
      </c>
      <c r="C46" s="7">
        <f>C32+C44</f>
        <v>11050</v>
      </c>
      <c r="D46" s="8"/>
      <c r="E46" s="8"/>
      <c r="F46" s="8"/>
    </row>
    <row r="48" spans="1:6" ht="15" customHeight="1" x14ac:dyDescent="0.3">
      <c r="A48" s="102" t="s">
        <v>94</v>
      </c>
      <c r="B48" s="102"/>
      <c r="C48" s="102"/>
    </row>
    <row r="49" spans="1:3" ht="15" customHeight="1" x14ac:dyDescent="0.3">
      <c r="A49" s="4" t="s">
        <v>128</v>
      </c>
      <c r="B49" s="5">
        <v>14.36</v>
      </c>
      <c r="C49" s="5">
        <v>36.340000000000003</v>
      </c>
    </row>
    <row r="50" spans="1:3" ht="15" customHeight="1" x14ac:dyDescent="0.3">
      <c r="A50" s="4" t="s">
        <v>129</v>
      </c>
      <c r="B50" s="5">
        <v>14.32</v>
      </c>
      <c r="C50" s="5">
        <v>36.17</v>
      </c>
    </row>
    <row r="52" spans="1:3" ht="15" customHeight="1" x14ac:dyDescent="0.3">
      <c r="A52" s="104" t="s">
        <v>106</v>
      </c>
      <c r="B52" s="104"/>
      <c r="C52" s="104"/>
    </row>
  </sheetData>
  <mergeCells count="9">
    <mergeCell ref="A34:C34"/>
    <mergeCell ref="A38:C38"/>
    <mergeCell ref="A48:C48"/>
    <mergeCell ref="A52:C52"/>
    <mergeCell ref="A1:C1"/>
    <mergeCell ref="A2:C2"/>
    <mergeCell ref="A4:C4"/>
    <mergeCell ref="A9:C9"/>
    <mergeCell ref="A26:C2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D9FE7-0394-42E5-9F40-C3DBF6535FBF}">
  <dimension ref="A1:F65"/>
  <sheetViews>
    <sheetView topLeftCell="A21" zoomScale="80" workbookViewId="0">
      <selection activeCell="C23" sqref="C23"/>
    </sheetView>
  </sheetViews>
  <sheetFormatPr defaultRowHeight="14.4" x14ac:dyDescent="0.3"/>
  <cols>
    <col min="2" max="2" width="18.33203125" customWidth="1"/>
    <col min="3" max="3" width="37.6640625" customWidth="1"/>
    <col min="4" max="4" width="17.6640625" customWidth="1"/>
    <col min="5" max="5" width="19.21875" customWidth="1"/>
    <col min="6" max="6" width="17.109375" customWidth="1"/>
  </cols>
  <sheetData>
    <row r="1" spans="1:6" ht="17.399999999999999" x14ac:dyDescent="0.3">
      <c r="A1" s="107" t="s">
        <v>138</v>
      </c>
      <c r="B1" s="106"/>
      <c r="C1" s="106"/>
      <c r="D1" s="106"/>
      <c r="E1" s="106"/>
      <c r="F1" s="106"/>
    </row>
    <row r="2" spans="1:6" x14ac:dyDescent="0.3">
      <c r="A2" s="108" t="s">
        <v>196</v>
      </c>
      <c r="B2" s="106"/>
      <c r="C2" s="106"/>
      <c r="D2" s="106"/>
      <c r="E2" s="106"/>
      <c r="F2" s="106"/>
    </row>
    <row r="3" spans="1:6" x14ac:dyDescent="0.3">
      <c r="A3" s="109" t="s">
        <v>197</v>
      </c>
      <c r="B3" s="109"/>
      <c r="C3" s="109"/>
      <c r="D3" s="109"/>
      <c r="E3" s="109"/>
      <c r="F3" s="109"/>
    </row>
    <row r="4" spans="1:6" x14ac:dyDescent="0.3">
      <c r="A4" s="81" t="s">
        <v>198</v>
      </c>
      <c r="B4" s="81" t="s">
        <v>199</v>
      </c>
      <c r="C4" s="81" t="s">
        <v>2</v>
      </c>
      <c r="D4" s="81" t="s">
        <v>200</v>
      </c>
      <c r="E4" s="81" t="s">
        <v>201</v>
      </c>
      <c r="F4" s="81" t="s">
        <v>202</v>
      </c>
    </row>
    <row r="5" spans="1:6" ht="24" x14ac:dyDescent="0.3">
      <c r="A5" s="82"/>
      <c r="B5" s="82"/>
      <c r="C5" s="83" t="s">
        <v>203</v>
      </c>
      <c r="D5" s="84"/>
      <c r="E5" s="84"/>
      <c r="F5" s="84"/>
    </row>
    <row r="6" spans="1:6" x14ac:dyDescent="0.3">
      <c r="A6" s="85">
        <v>1</v>
      </c>
      <c r="B6" s="85" t="s">
        <v>204</v>
      </c>
      <c r="C6" s="86" t="s">
        <v>205</v>
      </c>
      <c r="D6" s="87">
        <v>5077</v>
      </c>
      <c r="E6" s="87">
        <v>13380</v>
      </c>
      <c r="F6" s="87">
        <v>-8303</v>
      </c>
    </row>
    <row r="7" spans="1:6" x14ac:dyDescent="0.3">
      <c r="A7" s="88">
        <v>2</v>
      </c>
      <c r="B7" s="88" t="s">
        <v>204</v>
      </c>
      <c r="C7" s="89" t="s">
        <v>206</v>
      </c>
      <c r="D7" s="90"/>
      <c r="E7" s="90"/>
      <c r="F7" s="90"/>
    </row>
    <row r="8" spans="1:6" x14ac:dyDescent="0.3">
      <c r="A8" s="85">
        <v>3</v>
      </c>
      <c r="B8" s="85" t="s">
        <v>204</v>
      </c>
      <c r="C8" s="86" t="s">
        <v>207</v>
      </c>
      <c r="D8" s="87">
        <v>9309</v>
      </c>
      <c r="E8" s="87">
        <v>8172</v>
      </c>
      <c r="F8" s="87">
        <v>1137</v>
      </c>
    </row>
    <row r="9" spans="1:6" ht="22.8" x14ac:dyDescent="0.3">
      <c r="A9" s="88">
        <v>4</v>
      </c>
      <c r="B9" s="88" t="s">
        <v>204</v>
      </c>
      <c r="C9" s="89" t="s">
        <v>208</v>
      </c>
      <c r="D9" s="90">
        <v>132</v>
      </c>
      <c r="E9" s="90">
        <v>93</v>
      </c>
      <c r="F9" s="90">
        <v>39</v>
      </c>
    </row>
    <row r="10" spans="1:6" ht="22.8" x14ac:dyDescent="0.3">
      <c r="A10" s="85">
        <v>5</v>
      </c>
      <c r="B10" s="85" t="s">
        <v>204</v>
      </c>
      <c r="C10" s="86" t="s">
        <v>209</v>
      </c>
      <c r="D10" s="87">
        <v>-24</v>
      </c>
      <c r="E10" s="87">
        <v>-48</v>
      </c>
      <c r="F10" s="87">
        <v>24</v>
      </c>
    </row>
    <row r="11" spans="1:6" x14ac:dyDescent="0.3">
      <c r="A11" s="88">
        <v>6</v>
      </c>
      <c r="B11" s="88" t="s">
        <v>204</v>
      </c>
      <c r="C11" s="89" t="s">
        <v>210</v>
      </c>
      <c r="D11" s="90">
        <v>-34</v>
      </c>
      <c r="E11" s="90">
        <v>-129</v>
      </c>
      <c r="F11" s="90">
        <v>95</v>
      </c>
    </row>
    <row r="12" spans="1:6" x14ac:dyDescent="0.3">
      <c r="A12" s="85">
        <v>7</v>
      </c>
      <c r="B12" s="85" t="s">
        <v>204</v>
      </c>
      <c r="C12" s="86" t="s">
        <v>211</v>
      </c>
      <c r="D12" s="87">
        <v>-547</v>
      </c>
      <c r="E12" s="87">
        <v>-786</v>
      </c>
      <c r="F12" s="87">
        <v>239</v>
      </c>
    </row>
    <row r="13" spans="1:6" x14ac:dyDescent="0.3">
      <c r="A13" s="88">
        <v>8</v>
      </c>
      <c r="B13" s="88" t="s">
        <v>204</v>
      </c>
      <c r="C13" s="89" t="s">
        <v>212</v>
      </c>
      <c r="D13" s="90">
        <v>-24</v>
      </c>
      <c r="E13" s="90">
        <v>-21</v>
      </c>
      <c r="F13" s="90">
        <v>-3</v>
      </c>
    </row>
    <row r="14" spans="1:6" x14ac:dyDescent="0.3">
      <c r="A14" s="85">
        <v>9</v>
      </c>
      <c r="B14" s="85" t="s">
        <v>204</v>
      </c>
      <c r="C14" s="86" t="s">
        <v>213</v>
      </c>
      <c r="D14" s="87">
        <v>8125</v>
      </c>
      <c r="E14" s="87">
        <v>8051</v>
      </c>
      <c r="F14" s="87">
        <v>74</v>
      </c>
    </row>
    <row r="15" spans="1:6" x14ac:dyDescent="0.3">
      <c r="A15" s="88">
        <v>10</v>
      </c>
      <c r="B15" s="88" t="s">
        <v>204</v>
      </c>
      <c r="C15" s="89" t="s">
        <v>214</v>
      </c>
      <c r="D15" s="90">
        <v>584</v>
      </c>
      <c r="E15" s="90">
        <v>-10</v>
      </c>
      <c r="F15" s="90">
        <v>594</v>
      </c>
    </row>
    <row r="16" spans="1:6" ht="22.8" x14ac:dyDescent="0.3">
      <c r="A16" s="85">
        <v>11</v>
      </c>
      <c r="B16" s="85" t="s">
        <v>204</v>
      </c>
      <c r="C16" s="86" t="s">
        <v>215</v>
      </c>
      <c r="D16" s="87">
        <v>-23</v>
      </c>
      <c r="E16" s="87">
        <v>-5</v>
      </c>
      <c r="F16" s="87">
        <v>-18</v>
      </c>
    </row>
    <row r="17" spans="1:6" ht="22.8" x14ac:dyDescent="0.3">
      <c r="A17" s="88">
        <v>12</v>
      </c>
      <c r="B17" s="88" t="s">
        <v>204</v>
      </c>
      <c r="C17" s="89" t="s">
        <v>216</v>
      </c>
      <c r="D17" s="90">
        <v>-3</v>
      </c>
      <c r="E17" s="90">
        <v>-40</v>
      </c>
      <c r="F17" s="90">
        <v>37</v>
      </c>
    </row>
    <row r="18" spans="1:6" x14ac:dyDescent="0.3">
      <c r="A18" s="85">
        <v>13</v>
      </c>
      <c r="B18" s="85" t="s">
        <v>204</v>
      </c>
      <c r="C18" s="86" t="s">
        <v>217</v>
      </c>
      <c r="D18" s="87">
        <v>170</v>
      </c>
      <c r="E18" s="87">
        <v>208</v>
      </c>
      <c r="F18" s="87">
        <v>-38</v>
      </c>
    </row>
    <row r="19" spans="1:6" ht="22.8" x14ac:dyDescent="0.3">
      <c r="A19" s="88">
        <v>14</v>
      </c>
      <c r="B19" s="88" t="s">
        <v>204</v>
      </c>
      <c r="C19" s="89" t="s">
        <v>218</v>
      </c>
      <c r="D19" s="90">
        <v>311</v>
      </c>
      <c r="E19" s="90">
        <v>172</v>
      </c>
      <c r="F19" s="90">
        <v>139</v>
      </c>
    </row>
    <row r="20" spans="1:6" x14ac:dyDescent="0.3">
      <c r="A20" s="85">
        <v>15</v>
      </c>
      <c r="B20" s="85" t="s">
        <v>204</v>
      </c>
      <c r="C20" s="86" t="s">
        <v>219</v>
      </c>
      <c r="D20" s="87">
        <v>11</v>
      </c>
      <c r="E20" s="87">
        <v>34</v>
      </c>
      <c r="F20" s="87">
        <v>-23</v>
      </c>
    </row>
    <row r="21" spans="1:6" x14ac:dyDescent="0.3">
      <c r="A21" s="88">
        <v>16</v>
      </c>
      <c r="B21" s="88" t="s">
        <v>204</v>
      </c>
      <c r="C21" s="89" t="s">
        <v>220</v>
      </c>
      <c r="D21" s="90">
        <v>489</v>
      </c>
      <c r="E21" s="90">
        <v>-589</v>
      </c>
      <c r="F21" s="90">
        <v>1078</v>
      </c>
    </row>
    <row r="22" spans="1:6" ht="24" x14ac:dyDescent="0.3">
      <c r="A22" s="91">
        <v>17</v>
      </c>
      <c r="B22" s="91" t="s">
        <v>204</v>
      </c>
      <c r="C22" s="92" t="s">
        <v>221</v>
      </c>
      <c r="D22" s="93">
        <v>23553</v>
      </c>
      <c r="E22" s="93">
        <v>28472</v>
      </c>
      <c r="F22" s="93">
        <v>-4919</v>
      </c>
    </row>
    <row r="23" spans="1:6" x14ac:dyDescent="0.3">
      <c r="A23" s="88">
        <v>18</v>
      </c>
      <c r="B23" s="88" t="s">
        <v>204</v>
      </c>
      <c r="C23" s="89" t="s">
        <v>222</v>
      </c>
      <c r="D23" s="90">
        <v>2609</v>
      </c>
      <c r="E23" s="90">
        <v>-3284</v>
      </c>
      <c r="F23" s="90">
        <v>5893</v>
      </c>
    </row>
    <row r="24" spans="1:6" x14ac:dyDescent="0.3">
      <c r="A24" s="85">
        <v>19</v>
      </c>
      <c r="B24" s="85" t="s">
        <v>204</v>
      </c>
      <c r="C24" s="86" t="s">
        <v>223</v>
      </c>
      <c r="D24" s="87">
        <v>-866</v>
      </c>
      <c r="E24" s="87">
        <v>-154</v>
      </c>
      <c r="F24" s="87">
        <v>-712</v>
      </c>
    </row>
    <row r="25" spans="1:6" x14ac:dyDescent="0.3">
      <c r="A25" s="88">
        <v>20</v>
      </c>
      <c r="B25" s="88" t="s">
        <v>204</v>
      </c>
      <c r="C25" s="89" t="s">
        <v>224</v>
      </c>
      <c r="D25" s="90">
        <v>-1229</v>
      </c>
      <c r="E25" s="90">
        <v>-3111</v>
      </c>
      <c r="F25" s="90">
        <v>1882</v>
      </c>
    </row>
    <row r="26" spans="1:6" x14ac:dyDescent="0.3">
      <c r="A26" s="85">
        <v>21</v>
      </c>
      <c r="B26" s="85" t="s">
        <v>204</v>
      </c>
      <c r="C26" s="86" t="s">
        <v>225</v>
      </c>
      <c r="D26" s="87">
        <v>2921</v>
      </c>
      <c r="E26" s="87">
        <v>-8133</v>
      </c>
      <c r="F26" s="87">
        <v>11054</v>
      </c>
    </row>
    <row r="27" spans="1:6" ht="22.8" x14ac:dyDescent="0.3">
      <c r="A27" s="88">
        <v>22</v>
      </c>
      <c r="B27" s="88" t="s">
        <v>204</v>
      </c>
      <c r="C27" s="89" t="s">
        <v>226</v>
      </c>
      <c r="D27" s="90">
        <v>-4017</v>
      </c>
      <c r="E27" s="90">
        <v>898</v>
      </c>
      <c r="F27" s="90">
        <v>-4915</v>
      </c>
    </row>
    <row r="28" spans="1:6" x14ac:dyDescent="0.3">
      <c r="A28" s="85">
        <v>23</v>
      </c>
      <c r="B28" s="85" t="s">
        <v>204</v>
      </c>
      <c r="C28" s="86" t="s">
        <v>227</v>
      </c>
      <c r="D28" s="87">
        <v>-99</v>
      </c>
      <c r="E28" s="87">
        <v>169</v>
      </c>
      <c r="F28" s="87">
        <v>-268</v>
      </c>
    </row>
    <row r="29" spans="1:6" x14ac:dyDescent="0.3">
      <c r="A29" s="91">
        <v>24</v>
      </c>
      <c r="B29" s="91" t="s">
        <v>204</v>
      </c>
      <c r="C29" s="92" t="s">
        <v>228</v>
      </c>
      <c r="D29" s="93">
        <v>22872</v>
      </c>
      <c r="E29" s="93">
        <v>14857</v>
      </c>
      <c r="F29" s="93">
        <v>8015</v>
      </c>
    </row>
    <row r="30" spans="1:6" x14ac:dyDescent="0.3">
      <c r="A30" s="85">
        <v>25</v>
      </c>
      <c r="B30" s="85" t="s">
        <v>204</v>
      </c>
      <c r="C30" s="86" t="s">
        <v>229</v>
      </c>
      <c r="D30" s="87">
        <v>-1973</v>
      </c>
      <c r="E30" s="87">
        <v>-2779</v>
      </c>
      <c r="F30" s="87">
        <v>806</v>
      </c>
    </row>
    <row r="31" spans="1:6" ht="24" x14ac:dyDescent="0.3">
      <c r="A31" s="91">
        <v>26</v>
      </c>
      <c r="B31" s="91" t="s">
        <v>204</v>
      </c>
      <c r="C31" s="92" t="s">
        <v>230</v>
      </c>
      <c r="D31" s="93">
        <v>20899</v>
      </c>
      <c r="E31" s="93">
        <v>12078</v>
      </c>
      <c r="F31" s="93">
        <v>8821</v>
      </c>
    </row>
    <row r="32" spans="1:6" ht="24" x14ac:dyDescent="0.3">
      <c r="A32" s="82"/>
      <c r="B32" s="82"/>
      <c r="C32" s="83" t="s">
        <v>231</v>
      </c>
      <c r="D32" s="94"/>
      <c r="E32" s="94"/>
      <c r="F32" s="94"/>
    </row>
    <row r="33" spans="1:6" ht="34.200000000000003" x14ac:dyDescent="0.3">
      <c r="A33" s="85">
        <v>27</v>
      </c>
      <c r="B33" s="85" t="s">
        <v>232</v>
      </c>
      <c r="C33" s="86" t="s">
        <v>233</v>
      </c>
      <c r="D33" s="87">
        <v>-12694</v>
      </c>
      <c r="E33" s="87">
        <v>-15801</v>
      </c>
      <c r="F33" s="87">
        <v>3107</v>
      </c>
    </row>
    <row r="34" spans="1:6" ht="22.8" x14ac:dyDescent="0.3">
      <c r="A34" s="88">
        <v>28</v>
      </c>
      <c r="B34" s="88" t="s">
        <v>232</v>
      </c>
      <c r="C34" s="89" t="s">
        <v>234</v>
      </c>
      <c r="D34" s="90">
        <v>59</v>
      </c>
      <c r="E34" s="90">
        <v>254</v>
      </c>
      <c r="F34" s="90">
        <v>-195</v>
      </c>
    </row>
    <row r="35" spans="1:6" ht="22.8" x14ac:dyDescent="0.3">
      <c r="A35" s="85">
        <v>29</v>
      </c>
      <c r="B35" s="85" t="s">
        <v>232</v>
      </c>
      <c r="C35" s="86" t="s">
        <v>235</v>
      </c>
      <c r="D35" s="87" t="s">
        <v>236</v>
      </c>
      <c r="E35" s="87">
        <v>-630</v>
      </c>
      <c r="F35" s="87"/>
    </row>
    <row r="36" spans="1:6" x14ac:dyDescent="0.3">
      <c r="A36" s="88">
        <v>30</v>
      </c>
      <c r="B36" s="88" t="s">
        <v>232</v>
      </c>
      <c r="C36" s="89" t="s">
        <v>237</v>
      </c>
      <c r="D36" s="90">
        <v>-1880</v>
      </c>
      <c r="E36" s="90">
        <v>-396</v>
      </c>
      <c r="F36" s="90">
        <v>-1484</v>
      </c>
    </row>
    <row r="37" spans="1:6" x14ac:dyDescent="0.3">
      <c r="A37" s="85">
        <v>31</v>
      </c>
      <c r="B37" s="85" t="s">
        <v>232</v>
      </c>
      <c r="C37" s="86" t="s">
        <v>238</v>
      </c>
      <c r="D37" s="87">
        <v>-78</v>
      </c>
      <c r="E37" s="87" t="s">
        <v>236</v>
      </c>
      <c r="F37" s="87"/>
    </row>
    <row r="38" spans="1:6" x14ac:dyDescent="0.3">
      <c r="A38" s="88">
        <v>32</v>
      </c>
      <c r="B38" s="88" t="s">
        <v>232</v>
      </c>
      <c r="C38" s="89" t="s">
        <v>239</v>
      </c>
      <c r="D38" s="90">
        <v>50</v>
      </c>
      <c r="E38" s="90" t="s">
        <v>236</v>
      </c>
      <c r="F38" s="90"/>
    </row>
    <row r="39" spans="1:6" x14ac:dyDescent="0.3">
      <c r="A39" s="85">
        <v>33</v>
      </c>
      <c r="B39" s="85" t="s">
        <v>232</v>
      </c>
      <c r="C39" s="86" t="s">
        <v>240</v>
      </c>
      <c r="D39" s="87">
        <v>-12049</v>
      </c>
      <c r="E39" s="87">
        <v>-3584</v>
      </c>
      <c r="F39" s="87">
        <v>-8465</v>
      </c>
    </row>
    <row r="40" spans="1:6" x14ac:dyDescent="0.3">
      <c r="A40" s="88">
        <v>34</v>
      </c>
      <c r="B40" s="88" t="s">
        <v>232</v>
      </c>
      <c r="C40" s="89" t="s">
        <v>241</v>
      </c>
      <c r="D40" s="90">
        <v>6274</v>
      </c>
      <c r="E40" s="90">
        <v>3635</v>
      </c>
      <c r="F40" s="90">
        <v>2639</v>
      </c>
    </row>
    <row r="41" spans="1:6" ht="22.8" x14ac:dyDescent="0.3">
      <c r="A41" s="85">
        <v>35</v>
      </c>
      <c r="B41" s="85" t="s">
        <v>232</v>
      </c>
      <c r="C41" s="86" t="s">
        <v>242</v>
      </c>
      <c r="D41" s="87">
        <v>2637</v>
      </c>
      <c r="E41" s="87">
        <v>964</v>
      </c>
      <c r="F41" s="87">
        <v>1673</v>
      </c>
    </row>
    <row r="42" spans="1:6" x14ac:dyDescent="0.3">
      <c r="A42" s="88">
        <v>36</v>
      </c>
      <c r="B42" s="88" t="s">
        <v>232</v>
      </c>
      <c r="C42" s="89" t="s">
        <v>243</v>
      </c>
      <c r="D42" s="90">
        <v>660</v>
      </c>
      <c r="E42" s="90">
        <v>899</v>
      </c>
      <c r="F42" s="90">
        <v>-239</v>
      </c>
    </row>
    <row r="43" spans="1:6" x14ac:dyDescent="0.3">
      <c r="A43" s="85">
        <v>37</v>
      </c>
      <c r="B43" s="85" t="s">
        <v>232</v>
      </c>
      <c r="C43" s="86" t="s">
        <v>244</v>
      </c>
      <c r="D43" s="87">
        <v>24</v>
      </c>
      <c r="E43" s="87">
        <v>21</v>
      </c>
      <c r="F43" s="87">
        <v>3</v>
      </c>
    </row>
    <row r="44" spans="1:6" x14ac:dyDescent="0.3">
      <c r="A44" s="91">
        <v>38</v>
      </c>
      <c r="B44" s="91" t="s">
        <v>232</v>
      </c>
      <c r="C44" s="92" t="s">
        <v>245</v>
      </c>
      <c r="D44" s="93">
        <v>-16997</v>
      </c>
      <c r="E44" s="93">
        <v>-14638</v>
      </c>
      <c r="F44" s="93">
        <v>-2359</v>
      </c>
    </row>
    <row r="45" spans="1:6" ht="24" x14ac:dyDescent="0.3">
      <c r="A45" s="82"/>
      <c r="B45" s="82"/>
      <c r="C45" s="83" t="s">
        <v>246</v>
      </c>
      <c r="D45" s="94"/>
      <c r="E45" s="94"/>
      <c r="F45" s="94"/>
    </row>
    <row r="46" spans="1:6" x14ac:dyDescent="0.3">
      <c r="A46" s="85">
        <v>39</v>
      </c>
      <c r="B46" s="85" t="s">
        <v>247</v>
      </c>
      <c r="C46" s="86" t="s">
        <v>248</v>
      </c>
      <c r="D46" s="87">
        <v>-44</v>
      </c>
      <c r="E46" s="87">
        <v>6</v>
      </c>
      <c r="F46" s="87">
        <v>-50</v>
      </c>
    </row>
    <row r="47" spans="1:6" x14ac:dyDescent="0.3">
      <c r="A47" s="88">
        <v>40</v>
      </c>
      <c r="B47" s="88" t="s">
        <v>247</v>
      </c>
      <c r="C47" s="89" t="s">
        <v>249</v>
      </c>
      <c r="D47" s="90">
        <v>28243</v>
      </c>
      <c r="E47" s="90">
        <v>19891</v>
      </c>
      <c r="F47" s="90">
        <v>8352</v>
      </c>
    </row>
    <row r="48" spans="1:6" x14ac:dyDescent="0.3">
      <c r="A48" s="85">
        <v>41</v>
      </c>
      <c r="B48" s="85" t="s">
        <v>247</v>
      </c>
      <c r="C48" s="86" t="s">
        <v>250</v>
      </c>
      <c r="D48" s="87">
        <v>-16697</v>
      </c>
      <c r="E48" s="87">
        <v>-16328</v>
      </c>
      <c r="F48" s="87">
        <v>-369</v>
      </c>
    </row>
    <row r="49" spans="1:6" ht="22.8" x14ac:dyDescent="0.3">
      <c r="A49" s="88">
        <v>42</v>
      </c>
      <c r="B49" s="88" t="s">
        <v>247</v>
      </c>
      <c r="C49" s="89" t="s">
        <v>251</v>
      </c>
      <c r="D49" s="90">
        <v>-2061</v>
      </c>
      <c r="E49" s="90">
        <v>967</v>
      </c>
      <c r="F49" s="90">
        <v>-3028</v>
      </c>
    </row>
    <row r="50" spans="1:6" x14ac:dyDescent="0.3">
      <c r="A50" s="85">
        <v>43</v>
      </c>
      <c r="B50" s="85" t="s">
        <v>247</v>
      </c>
      <c r="C50" s="86" t="s">
        <v>252</v>
      </c>
      <c r="D50" s="87">
        <v>-369</v>
      </c>
      <c r="E50" s="87">
        <v>-632</v>
      </c>
      <c r="F50" s="87">
        <v>263</v>
      </c>
    </row>
    <row r="51" spans="1:6" x14ac:dyDescent="0.3">
      <c r="A51" s="88">
        <v>44</v>
      </c>
      <c r="B51" s="88" t="s">
        <v>247</v>
      </c>
      <c r="C51" s="89" t="s">
        <v>253</v>
      </c>
      <c r="D51" s="90">
        <v>-8835</v>
      </c>
      <c r="E51" s="90">
        <v>-8087</v>
      </c>
      <c r="F51" s="90">
        <v>-748</v>
      </c>
    </row>
    <row r="52" spans="1:6" x14ac:dyDescent="0.3">
      <c r="A52" s="85">
        <v>45</v>
      </c>
      <c r="B52" s="85" t="s">
        <v>247</v>
      </c>
      <c r="C52" s="86" t="s">
        <v>254</v>
      </c>
      <c r="D52" s="87">
        <v>-1785</v>
      </c>
      <c r="E52" s="87">
        <v>-822</v>
      </c>
      <c r="F52" s="87">
        <v>-963</v>
      </c>
    </row>
    <row r="53" spans="1:6" ht="22.8" x14ac:dyDescent="0.3">
      <c r="A53" s="88">
        <v>46</v>
      </c>
      <c r="B53" s="88" t="s">
        <v>247</v>
      </c>
      <c r="C53" s="89" t="s">
        <v>255</v>
      </c>
      <c r="D53" s="90">
        <v>1286</v>
      </c>
      <c r="E53" s="90" t="s">
        <v>236</v>
      </c>
      <c r="F53" s="90"/>
    </row>
    <row r="54" spans="1:6" x14ac:dyDescent="0.3">
      <c r="A54" s="91">
        <v>47</v>
      </c>
      <c r="B54" s="91" t="s">
        <v>247</v>
      </c>
      <c r="C54" s="92" t="s">
        <v>256</v>
      </c>
      <c r="D54" s="93">
        <v>-262</v>
      </c>
      <c r="E54" s="93">
        <v>-5005</v>
      </c>
      <c r="F54" s="93">
        <v>4743</v>
      </c>
    </row>
    <row r="55" spans="1:6" ht="22.8" x14ac:dyDescent="0.3">
      <c r="A55" s="88">
        <v>48</v>
      </c>
      <c r="B55" s="88" t="s">
        <v>247</v>
      </c>
      <c r="C55" s="89" t="s">
        <v>257</v>
      </c>
      <c r="D55" s="90">
        <v>3640</v>
      </c>
      <c r="E55" s="90">
        <v>-7565</v>
      </c>
      <c r="F55" s="90">
        <v>11205</v>
      </c>
    </row>
    <row r="56" spans="1:6" ht="22.8" x14ac:dyDescent="0.3">
      <c r="A56" s="85">
        <v>49</v>
      </c>
      <c r="B56" s="85" t="s">
        <v>247</v>
      </c>
      <c r="C56" s="86" t="s">
        <v>258</v>
      </c>
      <c r="D56" s="87">
        <v>8030</v>
      </c>
      <c r="E56" s="87">
        <v>15424</v>
      </c>
      <c r="F56" s="87">
        <v>-7394</v>
      </c>
    </row>
    <row r="57" spans="1:6" ht="22.8" x14ac:dyDescent="0.3">
      <c r="A57" s="88">
        <v>50</v>
      </c>
      <c r="B57" s="88" t="s">
        <v>247</v>
      </c>
      <c r="C57" s="89" t="s">
        <v>259</v>
      </c>
      <c r="D57" s="90">
        <v>-15</v>
      </c>
      <c r="E57" s="90">
        <v>-7</v>
      </c>
      <c r="F57" s="90">
        <v>-8</v>
      </c>
    </row>
    <row r="58" spans="1:6" ht="22.8" x14ac:dyDescent="0.3">
      <c r="A58" s="85">
        <v>51</v>
      </c>
      <c r="B58" s="85" t="s">
        <v>247</v>
      </c>
      <c r="C58" s="86" t="s">
        <v>260</v>
      </c>
      <c r="D58" s="87" t="s">
        <v>236</v>
      </c>
      <c r="E58" s="87">
        <v>178</v>
      </c>
      <c r="F58" s="87"/>
    </row>
    <row r="59" spans="1:6" x14ac:dyDescent="0.3">
      <c r="A59" s="91">
        <v>52</v>
      </c>
      <c r="B59" s="91" t="s">
        <v>247</v>
      </c>
      <c r="C59" s="92" t="s">
        <v>261</v>
      </c>
      <c r="D59" s="93">
        <v>11655</v>
      </c>
      <c r="E59" s="93">
        <v>8030</v>
      </c>
      <c r="F59" s="93">
        <v>3625</v>
      </c>
    </row>
    <row r="61" spans="1:6" x14ac:dyDescent="0.3">
      <c r="A61" s="105"/>
      <c r="B61" s="106"/>
      <c r="C61" s="106"/>
      <c r="D61" s="106"/>
      <c r="E61" s="106"/>
      <c r="F61" s="106"/>
    </row>
    <row r="62" spans="1:6" x14ac:dyDescent="0.3">
      <c r="A62" s="105" t="s">
        <v>262</v>
      </c>
      <c r="B62" s="106"/>
      <c r="C62" s="106"/>
      <c r="D62" s="106"/>
      <c r="E62" s="106"/>
      <c r="F62" s="106"/>
    </row>
    <row r="63" spans="1:6" x14ac:dyDescent="0.3">
      <c r="A63" s="105" t="s">
        <v>263</v>
      </c>
      <c r="B63" s="106"/>
      <c r="C63" s="106"/>
      <c r="D63" s="106"/>
      <c r="E63" s="106"/>
      <c r="F63" s="106"/>
    </row>
    <row r="64" spans="1:6" x14ac:dyDescent="0.3">
      <c r="A64" s="105" t="s">
        <v>264</v>
      </c>
      <c r="B64" s="106"/>
      <c r="C64" s="106"/>
      <c r="D64" s="106"/>
      <c r="E64" s="106"/>
      <c r="F64" s="106"/>
    </row>
    <row r="65" spans="1:6" x14ac:dyDescent="0.3">
      <c r="A65" s="105" t="s">
        <v>265</v>
      </c>
      <c r="B65" s="106"/>
      <c r="C65" s="106"/>
      <c r="D65" s="106"/>
      <c r="E65" s="106"/>
      <c r="F65" s="106"/>
    </row>
  </sheetData>
  <mergeCells count="8">
    <mergeCell ref="A64:F64"/>
    <mergeCell ref="A65:F65"/>
    <mergeCell ref="A1:F1"/>
    <mergeCell ref="A2:F2"/>
    <mergeCell ref="A3:F3"/>
    <mergeCell ref="A61:F61"/>
    <mergeCell ref="A62:F62"/>
    <mergeCell ref="A63:F6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E9B8-CF26-4221-95EA-B71CD4C3ECB3}">
  <sheetPr>
    <tabColor rgb="FF002060"/>
  </sheetPr>
  <dimension ref="A2:P56"/>
  <sheetViews>
    <sheetView showGridLines="0" topLeftCell="A21" workbookViewId="0">
      <selection activeCell="E12" sqref="E12"/>
    </sheetView>
  </sheetViews>
  <sheetFormatPr defaultRowHeight="14.4" x14ac:dyDescent="0.3"/>
  <cols>
    <col min="1" max="1" width="1.88671875" customWidth="1"/>
    <col min="2" max="2" width="37.33203125" bestFit="1" customWidth="1"/>
    <col min="3" max="3" width="15" bestFit="1" customWidth="1"/>
    <col min="4" max="4" width="21.6640625" customWidth="1"/>
    <col min="5" max="5" width="14.21875" bestFit="1" customWidth="1"/>
    <col min="6" max="6" width="16.44140625" bestFit="1" customWidth="1"/>
    <col min="9" max="9" width="7" bestFit="1" customWidth="1"/>
    <col min="10" max="10" width="13.21875" customWidth="1"/>
    <col min="11" max="11" width="18.33203125" customWidth="1"/>
    <col min="13" max="13" width="12" bestFit="1" customWidth="1"/>
  </cols>
  <sheetData>
    <row r="2" spans="2:15" x14ac:dyDescent="0.3">
      <c r="B2" s="110" t="s">
        <v>138</v>
      </c>
      <c r="C2" s="110"/>
      <c r="D2" s="110"/>
      <c r="E2" s="110"/>
      <c r="F2" s="110"/>
      <c r="G2" s="110"/>
      <c r="H2" s="110"/>
      <c r="I2" s="110"/>
      <c r="J2" s="110"/>
      <c r="K2" s="110"/>
    </row>
    <row r="3" spans="2:15" x14ac:dyDescent="0.3">
      <c r="B3" s="110"/>
      <c r="C3" s="110"/>
      <c r="D3" s="110"/>
      <c r="E3" s="110"/>
      <c r="F3" s="110"/>
      <c r="G3" s="110"/>
      <c r="H3" s="110"/>
      <c r="I3" s="110"/>
      <c r="J3" s="110"/>
      <c r="K3" s="110"/>
    </row>
    <row r="4" spans="2:15" x14ac:dyDescent="0.3">
      <c r="B4" s="101" t="s">
        <v>1</v>
      </c>
      <c r="C4" s="101"/>
      <c r="D4" s="101"/>
      <c r="E4" s="101"/>
      <c r="F4" s="101"/>
      <c r="G4" s="101"/>
      <c r="H4" s="101"/>
      <c r="I4" s="101"/>
      <c r="J4" s="101"/>
      <c r="K4" s="101"/>
    </row>
    <row r="5" spans="2:15" x14ac:dyDescent="0.3">
      <c r="B5" s="11" t="s">
        <v>130</v>
      </c>
      <c r="C5" s="12"/>
      <c r="D5" s="12"/>
      <c r="E5" s="12"/>
      <c r="F5" s="12"/>
      <c r="G5" s="12"/>
      <c r="H5" s="12"/>
      <c r="I5" s="12"/>
      <c r="J5" s="12"/>
      <c r="K5" s="12"/>
    </row>
    <row r="7" spans="2:15" x14ac:dyDescent="0.3">
      <c r="B7" s="13" t="s">
        <v>131</v>
      </c>
    </row>
    <row r="9" spans="2:15" x14ac:dyDescent="0.3">
      <c r="B9" s="14" t="s">
        <v>140</v>
      </c>
      <c r="K9" s="47" t="s">
        <v>188</v>
      </c>
      <c r="L9" s="48"/>
      <c r="M9" s="48"/>
      <c r="N9" s="48"/>
    </row>
    <row r="10" spans="2:15" x14ac:dyDescent="0.3">
      <c r="B10" s="15"/>
      <c r="C10" s="15"/>
      <c r="D10" s="15"/>
      <c r="E10" s="15"/>
      <c r="F10" s="15"/>
      <c r="G10" s="16" t="s">
        <v>141</v>
      </c>
      <c r="H10" s="16" t="s">
        <v>132</v>
      </c>
      <c r="I10" s="16" t="s">
        <v>143</v>
      </c>
      <c r="J10" s="16" t="s">
        <v>143</v>
      </c>
    </row>
    <row r="11" spans="2:15" ht="16.2" x14ac:dyDescent="0.3">
      <c r="B11" s="17" t="s">
        <v>133</v>
      </c>
      <c r="C11" s="17" t="s">
        <v>134</v>
      </c>
      <c r="D11" s="17" t="s">
        <v>37</v>
      </c>
      <c r="E11" s="17" t="s">
        <v>135</v>
      </c>
      <c r="F11" s="17" t="s">
        <v>136</v>
      </c>
      <c r="G11" s="18" t="s">
        <v>142</v>
      </c>
      <c r="H11" s="18" t="s">
        <v>142</v>
      </c>
      <c r="I11" s="18" t="s">
        <v>34</v>
      </c>
      <c r="J11" s="18" t="s">
        <v>180</v>
      </c>
      <c r="K11" t="s">
        <v>189</v>
      </c>
      <c r="N11" s="49">
        <f>I12</f>
        <v>9.6282483585960921E-2</v>
      </c>
    </row>
    <row r="12" spans="2:15" x14ac:dyDescent="0.3">
      <c r="B12" s="24" t="s">
        <v>138</v>
      </c>
      <c r="C12" s="24" t="s">
        <v>139</v>
      </c>
      <c r="D12" s="25">
        <f>IFERROR(SUM('Consolidated Balance Sheet'!B39:B40),0)</f>
        <v>79496</v>
      </c>
      <c r="E12" s="25">
        <f>IFERROR(SUM('Consolidated Balance Sheet'!B44,'Consolidated Balance Sheet'!B45,'Consolidated Balance Sheet'!B53,'Consolidated Balance Sheet'!B54),0)</f>
        <v>98752</v>
      </c>
      <c r="F12" s="19">
        <v>0.3</v>
      </c>
      <c r="G12" s="20">
        <f>IFERROR(D12/SUM(D12:E12),0)</f>
        <v>0.44598536869978905</v>
      </c>
      <c r="H12" s="20">
        <f>IFERROR(E12/(SUM(D12:E12)),0)</f>
        <v>0.55401463130021089</v>
      </c>
      <c r="I12" s="20">
        <f>C39</f>
        <v>9.6282483585960921E-2</v>
      </c>
      <c r="J12" s="44">
        <f>M25</f>
        <v>5.9628159429682429E-2</v>
      </c>
      <c r="K12" t="s">
        <v>190</v>
      </c>
      <c r="N12" s="30">
        <f>G12</f>
        <v>0.44598536869978905</v>
      </c>
    </row>
    <row r="13" spans="2:15" x14ac:dyDescent="0.3">
      <c r="B13" s="23"/>
      <c r="C13" s="23"/>
      <c r="D13" s="116" t="s">
        <v>140</v>
      </c>
      <c r="E13" s="116"/>
      <c r="F13" s="26"/>
      <c r="G13" s="20"/>
      <c r="H13" s="20"/>
      <c r="I13" s="20"/>
      <c r="J13" s="21"/>
      <c r="K13" t="s">
        <v>182</v>
      </c>
      <c r="N13" s="30">
        <f>J12</f>
        <v>5.9628159429682429E-2</v>
      </c>
    </row>
    <row r="14" spans="2:15" ht="16.8" x14ac:dyDescent="0.3">
      <c r="B14" s="117" t="s">
        <v>144</v>
      </c>
      <c r="C14" s="117"/>
      <c r="D14" s="55">
        <f>SUM(D12:E12)</f>
        <v>178248</v>
      </c>
      <c r="E14" s="56"/>
      <c r="F14" s="57"/>
      <c r="G14" s="58"/>
      <c r="H14" s="58"/>
      <c r="I14" s="58"/>
      <c r="J14" s="59"/>
      <c r="K14" t="s">
        <v>191</v>
      </c>
      <c r="N14" s="30">
        <f>H12</f>
        <v>0.55401463130021089</v>
      </c>
    </row>
    <row r="15" spans="2:15" x14ac:dyDescent="0.3">
      <c r="K15" s="50" t="s">
        <v>192</v>
      </c>
      <c r="L15" s="50"/>
      <c r="M15" s="50"/>
      <c r="N15" s="51">
        <f>(N11*N12)+(N13*N14)</f>
        <v>7.5975451702961869E-2</v>
      </c>
    </row>
    <row r="16" spans="2:15" ht="15" thickBot="1" x14ac:dyDescent="0.35">
      <c r="B16" s="43"/>
      <c r="C16" s="43"/>
      <c r="D16" s="43"/>
      <c r="E16" s="75"/>
      <c r="F16" s="76"/>
      <c r="G16" s="76"/>
      <c r="H16" s="77"/>
      <c r="I16" s="77"/>
      <c r="J16" s="78"/>
      <c r="K16" s="78"/>
      <c r="L16" s="43"/>
      <c r="M16" s="43"/>
      <c r="N16" s="43"/>
      <c r="O16" s="43"/>
    </row>
    <row r="17" spans="1:16" ht="15" thickTop="1" x14ac:dyDescent="0.3">
      <c r="E17" s="52"/>
      <c r="F17" s="53"/>
      <c r="G17" s="49"/>
      <c r="H17" s="49"/>
      <c r="I17" s="49"/>
      <c r="J17" s="54"/>
      <c r="K17" s="54"/>
    </row>
    <row r="18" spans="1:16" x14ac:dyDescent="0.3">
      <c r="B18" t="s">
        <v>172</v>
      </c>
      <c r="C18" t="s">
        <v>140</v>
      </c>
    </row>
    <row r="19" spans="1:16" ht="15.6" x14ac:dyDescent="0.35">
      <c r="B19" s="111" t="s">
        <v>171</v>
      </c>
      <c r="C19" s="111"/>
      <c r="D19" s="111"/>
      <c r="E19" s="111"/>
      <c r="I19" s="116" t="s">
        <v>181</v>
      </c>
      <c r="J19" s="116"/>
      <c r="K19" s="116"/>
      <c r="N19" s="46" t="s">
        <v>140</v>
      </c>
      <c r="O19" s="46"/>
      <c r="P19" s="46"/>
    </row>
    <row r="21" spans="1:16" ht="15" thickBot="1" x14ac:dyDescent="0.35">
      <c r="B21" s="27" t="s">
        <v>145</v>
      </c>
      <c r="C21" s="27" t="s">
        <v>146</v>
      </c>
      <c r="D21" s="27" t="s">
        <v>147</v>
      </c>
      <c r="E21" s="27" t="s">
        <v>148</v>
      </c>
      <c r="F21" s="28" t="s">
        <v>170</v>
      </c>
      <c r="J21" s="22" t="s">
        <v>182</v>
      </c>
      <c r="K21" s="17"/>
      <c r="L21" s="17"/>
      <c r="M21" s="17"/>
      <c r="N21" s="43" t="s">
        <v>186</v>
      </c>
      <c r="O21" s="43"/>
      <c r="P21" s="43"/>
    </row>
    <row r="22" spans="1:16" ht="15" thickTop="1" x14ac:dyDescent="0.3">
      <c r="A22" t="s">
        <v>140</v>
      </c>
      <c r="B22" s="36" t="s">
        <v>168</v>
      </c>
      <c r="C22" s="36" t="s">
        <v>169</v>
      </c>
      <c r="D22" s="36" t="s">
        <v>151</v>
      </c>
      <c r="E22" s="60">
        <v>7.5</v>
      </c>
      <c r="F22" s="29" t="s">
        <v>140</v>
      </c>
    </row>
    <row r="23" spans="1:16" x14ac:dyDescent="0.3">
      <c r="B23" s="36" t="s">
        <v>166</v>
      </c>
      <c r="C23" s="36" t="s">
        <v>167</v>
      </c>
      <c r="D23" s="36" t="s">
        <v>151</v>
      </c>
      <c r="E23" s="60">
        <v>2.25</v>
      </c>
      <c r="F23" s="29">
        <f t="shared" ref="F23:F31" si="0">E23/E22-1</f>
        <v>-0.7</v>
      </c>
      <c r="J23" t="s">
        <v>183</v>
      </c>
      <c r="M23" s="44">
        <f>P23</f>
        <v>8.5183084899546332E-2</v>
      </c>
      <c r="O23" t="s">
        <v>187</v>
      </c>
      <c r="P23" s="44">
        <f>IFERROR(SUM('Consolidated Income Statement'!B$15)/WACC!E$12,0)</f>
        <v>8.5183084899546332E-2</v>
      </c>
    </row>
    <row r="24" spans="1:16" x14ac:dyDescent="0.3">
      <c r="B24" s="36" t="s">
        <v>164</v>
      </c>
      <c r="C24" s="36" t="s">
        <v>165</v>
      </c>
      <c r="D24" s="36" t="s">
        <v>151</v>
      </c>
      <c r="E24" s="60">
        <v>3.2</v>
      </c>
      <c r="F24" s="29">
        <f t="shared" si="0"/>
        <v>0.42222222222222228</v>
      </c>
      <c r="J24" t="s">
        <v>184</v>
      </c>
      <c r="M24" s="30">
        <f>F12</f>
        <v>0.3</v>
      </c>
    </row>
    <row r="25" spans="1:16" x14ac:dyDescent="0.3">
      <c r="B25" s="36" t="s">
        <v>162</v>
      </c>
      <c r="C25" s="36" t="s">
        <v>163</v>
      </c>
      <c r="D25" s="36" t="s">
        <v>151</v>
      </c>
      <c r="E25" s="60">
        <v>4.0999999999999996</v>
      </c>
      <c r="F25" s="29">
        <f t="shared" si="0"/>
        <v>0.28124999999999978</v>
      </c>
      <c r="J25" s="41" t="s">
        <v>185</v>
      </c>
      <c r="K25" s="41"/>
      <c r="L25" s="41"/>
      <c r="M25" s="45">
        <f>M23*(1-M24)</f>
        <v>5.9628159429682429E-2</v>
      </c>
    </row>
    <row r="26" spans="1:16" x14ac:dyDescent="0.3">
      <c r="B26" s="36" t="s">
        <v>160</v>
      </c>
      <c r="C26" s="36" t="s">
        <v>161</v>
      </c>
      <c r="D26" s="36" t="s">
        <v>151</v>
      </c>
      <c r="E26" s="60">
        <v>2</v>
      </c>
      <c r="F26" s="29">
        <f t="shared" si="0"/>
        <v>-0.51219512195121952</v>
      </c>
    </row>
    <row r="27" spans="1:16" x14ac:dyDescent="0.3">
      <c r="B27" s="36" t="s">
        <v>158</v>
      </c>
      <c r="C27" s="36" t="s">
        <v>159</v>
      </c>
      <c r="D27" s="36" t="s">
        <v>151</v>
      </c>
      <c r="E27" s="60">
        <v>6.5</v>
      </c>
      <c r="F27" s="29">
        <f t="shared" si="0"/>
        <v>2.25</v>
      </c>
      <c r="J27" s="79" t="s">
        <v>195</v>
      </c>
      <c r="M27" t="s">
        <v>140</v>
      </c>
    </row>
    <row r="28" spans="1:16" x14ac:dyDescent="0.3">
      <c r="B28" s="36" t="s">
        <v>156</v>
      </c>
      <c r="C28" s="36" t="s">
        <v>157</v>
      </c>
      <c r="D28" s="36" t="s">
        <v>151</v>
      </c>
      <c r="E28" s="60">
        <v>17.350000000000001</v>
      </c>
      <c r="F28" s="29">
        <f t="shared" si="0"/>
        <v>1.6692307692307695</v>
      </c>
    </row>
    <row r="29" spans="1:16" x14ac:dyDescent="0.3">
      <c r="B29" s="36" t="s">
        <v>154</v>
      </c>
      <c r="C29" s="36" t="s">
        <v>155</v>
      </c>
      <c r="D29" s="36" t="s">
        <v>151</v>
      </c>
      <c r="E29" s="60">
        <v>3.4</v>
      </c>
      <c r="F29" s="29">
        <f t="shared" si="0"/>
        <v>-0.80403458213256485</v>
      </c>
    </row>
    <row r="30" spans="1:16" x14ac:dyDescent="0.3">
      <c r="B30" s="36" t="s">
        <v>152</v>
      </c>
      <c r="C30" s="36" t="s">
        <v>153</v>
      </c>
      <c r="D30" s="36" t="s">
        <v>151</v>
      </c>
      <c r="E30" s="60">
        <v>7.3</v>
      </c>
      <c r="F30" s="29">
        <f t="shared" si="0"/>
        <v>1.1470588235294117</v>
      </c>
    </row>
    <row r="31" spans="1:16" x14ac:dyDescent="0.3">
      <c r="B31" s="36" t="s">
        <v>149</v>
      </c>
      <c r="C31" s="36" t="s">
        <v>150</v>
      </c>
      <c r="D31" s="36" t="s">
        <v>151</v>
      </c>
      <c r="E31" s="60">
        <v>2.8</v>
      </c>
      <c r="F31" s="29">
        <f t="shared" si="0"/>
        <v>-0.61643835616438358</v>
      </c>
    </row>
    <row r="32" spans="1:16" x14ac:dyDescent="0.3">
      <c r="B32" s="36"/>
      <c r="C32" s="36"/>
      <c r="D32" s="36"/>
      <c r="E32" s="36"/>
      <c r="F32" s="29"/>
    </row>
    <row r="33" spans="2:11" x14ac:dyDescent="0.3">
      <c r="B33" s="61" t="s">
        <v>193</v>
      </c>
      <c r="E33" s="31" t="s">
        <v>173</v>
      </c>
      <c r="F33" s="32">
        <f>AVERAGE(F22:F30)</f>
        <v>0.46919151386232733</v>
      </c>
    </row>
    <row r="34" spans="2:11" x14ac:dyDescent="0.3">
      <c r="B34" s="62" t="s">
        <v>194</v>
      </c>
      <c r="E34" s="33" t="s">
        <v>174</v>
      </c>
      <c r="F34" s="34">
        <f>_xlfn.RRI(10,E22,E31)</f>
        <v>-9.3830007035726748E-2</v>
      </c>
      <c r="G34" s="30">
        <v>9.3799999999999994E-2</v>
      </c>
    </row>
    <row r="35" spans="2:11" x14ac:dyDescent="0.3">
      <c r="E35" s="33" t="s">
        <v>137</v>
      </c>
      <c r="F35" s="35">
        <f>MEDIAN(F22:F30)</f>
        <v>0.35173611111111103</v>
      </c>
    </row>
    <row r="36" spans="2:11" x14ac:dyDescent="0.3">
      <c r="E36" s="37" t="s">
        <v>175</v>
      </c>
      <c r="F36" s="37">
        <v>1233.7</v>
      </c>
      <c r="G36" s="112" t="s">
        <v>176</v>
      </c>
      <c r="H36" s="113"/>
      <c r="I36" s="113"/>
      <c r="J36" s="113"/>
    </row>
    <row r="37" spans="2:11" x14ac:dyDescent="0.3">
      <c r="B37" t="s">
        <v>177</v>
      </c>
    </row>
    <row r="38" spans="2:11" ht="15.6" x14ac:dyDescent="0.35">
      <c r="B38" s="38" t="s">
        <v>178</v>
      </c>
      <c r="C38" s="39">
        <f>IFERROR(E31*(1+G34),0)</f>
        <v>3.0626399999999996</v>
      </c>
    </row>
    <row r="39" spans="2:11" ht="15.6" x14ac:dyDescent="0.35">
      <c r="B39" s="38" t="s">
        <v>179</v>
      </c>
      <c r="C39" s="40">
        <f>IFERROR((C38/F36)+G34,0)</f>
        <v>9.6282483585960921E-2</v>
      </c>
    </row>
    <row r="41" spans="2:11" x14ac:dyDescent="0.3">
      <c r="B41" s="115"/>
      <c r="C41" s="67"/>
      <c r="D41" s="67"/>
      <c r="E41" s="67"/>
      <c r="F41" s="67"/>
      <c r="G41" s="67"/>
      <c r="H41" s="67"/>
      <c r="I41" s="67"/>
      <c r="J41" s="67"/>
      <c r="K41" s="67"/>
    </row>
    <row r="42" spans="2:11" x14ac:dyDescent="0.3">
      <c r="B42" s="115"/>
      <c r="C42" s="67"/>
      <c r="D42" s="67"/>
      <c r="E42" s="67"/>
      <c r="F42" s="67"/>
      <c r="G42" s="67"/>
      <c r="H42" s="67"/>
      <c r="I42" s="67" t="s">
        <v>140</v>
      </c>
      <c r="J42" s="80" t="s">
        <v>140</v>
      </c>
      <c r="K42" s="67"/>
    </row>
    <row r="43" spans="2:11" x14ac:dyDescent="0.3">
      <c r="B43" s="67"/>
      <c r="C43" s="114"/>
      <c r="D43" s="114"/>
      <c r="E43" s="114"/>
      <c r="F43" s="67"/>
      <c r="G43" s="67"/>
      <c r="H43" s="67"/>
      <c r="I43" s="67"/>
      <c r="J43" s="67"/>
      <c r="K43" s="67"/>
    </row>
    <row r="44" spans="2:11" x14ac:dyDescent="0.3">
      <c r="B44" s="67"/>
      <c r="C44" s="63"/>
      <c r="D44" s="63"/>
      <c r="E44" s="63"/>
      <c r="F44" s="67"/>
      <c r="G44" s="67"/>
      <c r="H44" s="67"/>
      <c r="I44" s="67"/>
      <c r="J44" s="67"/>
      <c r="K44" s="67"/>
    </row>
    <row r="45" spans="2:11" x14ac:dyDescent="0.3">
      <c r="B45" s="68"/>
      <c r="C45" s="68"/>
      <c r="D45" s="68"/>
      <c r="E45" s="67"/>
      <c r="F45" s="67"/>
      <c r="G45" s="67"/>
      <c r="H45" s="67"/>
      <c r="I45" s="67"/>
      <c r="J45" s="67"/>
      <c r="K45" s="67"/>
    </row>
    <row r="46" spans="2:11" x14ac:dyDescent="0.3">
      <c r="B46" s="69"/>
      <c r="C46" s="70"/>
      <c r="D46" s="71"/>
      <c r="E46" s="71"/>
      <c r="F46" s="67"/>
      <c r="G46" s="67"/>
      <c r="H46" s="72"/>
      <c r="I46" s="72"/>
      <c r="J46" s="67"/>
      <c r="K46" s="67"/>
    </row>
    <row r="47" spans="2:11" x14ac:dyDescent="0.3">
      <c r="B47" s="69"/>
      <c r="C47" s="70"/>
      <c r="D47" s="71"/>
      <c r="E47" s="71"/>
      <c r="F47" s="67"/>
      <c r="G47" s="67"/>
      <c r="H47" s="73"/>
      <c r="I47" s="67"/>
      <c r="J47" s="67"/>
      <c r="K47" s="67"/>
    </row>
    <row r="48" spans="2:11" x14ac:dyDescent="0.3">
      <c r="B48" s="69"/>
      <c r="C48" s="70"/>
      <c r="D48" s="71"/>
      <c r="E48" s="71"/>
      <c r="F48" s="67"/>
      <c r="G48" s="67"/>
      <c r="H48" s="72"/>
      <c r="I48" s="67"/>
      <c r="J48" s="67"/>
      <c r="K48" s="67"/>
    </row>
    <row r="49" spans="2:11" x14ac:dyDescent="0.3">
      <c r="B49" s="69"/>
      <c r="C49" s="70"/>
      <c r="D49" s="71"/>
      <c r="E49" s="71"/>
      <c r="F49" s="71"/>
      <c r="G49" s="67"/>
      <c r="H49" s="71"/>
      <c r="I49" s="67"/>
      <c r="J49" s="67"/>
      <c r="K49" s="67"/>
    </row>
    <row r="50" spans="2:11" x14ac:dyDescent="0.3">
      <c r="B50" s="69"/>
      <c r="C50" s="70"/>
      <c r="D50" s="71"/>
      <c r="E50" s="71"/>
      <c r="F50" s="71"/>
      <c r="G50" s="67"/>
      <c r="H50" s="71"/>
      <c r="I50" s="67"/>
      <c r="J50" s="67"/>
      <c r="K50" s="67"/>
    </row>
    <row r="51" spans="2:11" x14ac:dyDescent="0.3">
      <c r="B51" s="69"/>
      <c r="C51" s="70"/>
      <c r="D51" s="71"/>
      <c r="E51" s="71"/>
      <c r="F51" s="71"/>
      <c r="G51" s="67"/>
      <c r="H51" s="67"/>
      <c r="I51" s="67"/>
      <c r="J51" s="67"/>
      <c r="K51" s="67"/>
    </row>
    <row r="52" spans="2:11" x14ac:dyDescent="0.3">
      <c r="B52" s="69"/>
      <c r="C52" s="70"/>
      <c r="D52" s="71"/>
      <c r="E52" s="71"/>
      <c r="F52" s="74"/>
      <c r="G52" s="67"/>
      <c r="H52" s="67"/>
      <c r="I52" s="67"/>
      <c r="J52" s="67"/>
      <c r="K52" s="67"/>
    </row>
    <row r="53" spans="2:11" x14ac:dyDescent="0.3">
      <c r="B53" s="64"/>
      <c r="C53" s="65"/>
      <c r="D53" s="66"/>
      <c r="E53" s="66"/>
      <c r="F53" s="66"/>
      <c r="G53" s="46"/>
      <c r="H53" s="46"/>
      <c r="I53" s="46"/>
    </row>
    <row r="54" spans="2:11" x14ac:dyDescent="0.3">
      <c r="B54" s="64"/>
      <c r="C54" s="65"/>
      <c r="D54" s="66"/>
      <c r="E54" s="66"/>
      <c r="F54" s="66"/>
      <c r="G54" s="46"/>
      <c r="H54" s="46"/>
      <c r="I54" s="46"/>
    </row>
    <row r="55" spans="2:11" x14ac:dyDescent="0.3">
      <c r="B55" s="64"/>
      <c r="C55" s="65"/>
      <c r="D55" s="66"/>
      <c r="E55" s="66"/>
      <c r="F55" s="66"/>
      <c r="G55" s="46"/>
      <c r="H55" s="46"/>
      <c r="I55" s="46"/>
    </row>
    <row r="56" spans="2:11" x14ac:dyDescent="0.3">
      <c r="B56" t="s">
        <v>140</v>
      </c>
      <c r="D56" s="25" t="s">
        <v>140</v>
      </c>
    </row>
  </sheetData>
  <mergeCells count="9">
    <mergeCell ref="B2:K3"/>
    <mergeCell ref="B4:K4"/>
    <mergeCell ref="B19:E19"/>
    <mergeCell ref="G36:J36"/>
    <mergeCell ref="C43:E43"/>
    <mergeCell ref="B41:B42"/>
    <mergeCell ref="I19:K19"/>
    <mergeCell ref="B14:C14"/>
    <mergeCell ref="D13:E13"/>
  </mergeCells>
  <hyperlinks>
    <hyperlink ref="B34" r:id="rId1" display="https://www.nseindia.com/get-quote/equity/JSWSTEEL/JSW-Steel-Limited" xr:uid="{43462DC2-95E1-4B08-871A-75699000FA6F}"/>
  </hyperlinks>
  <pageMargins left="0.7" right="0.7" top="0.75" bottom="0.75" header="0.3" footer="0.3"/>
  <ignoredErrors>
    <ignoredError sqref="D12"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33210-D1EE-4C48-9B1C-DFFBF341DCE3}">
  <sheetPr>
    <tabColor rgb="FF002060"/>
  </sheetPr>
  <dimension ref="B1:L28"/>
  <sheetViews>
    <sheetView showGridLines="0" tabSelected="1" topLeftCell="A6" workbookViewId="0">
      <selection activeCell="C18" sqref="C18"/>
    </sheetView>
  </sheetViews>
  <sheetFormatPr defaultRowHeight="14.4" x14ac:dyDescent="0.3"/>
  <cols>
    <col min="1" max="1" width="1.88671875" customWidth="1"/>
    <col min="2" max="2" width="30" bestFit="1" customWidth="1"/>
    <col min="3" max="3" width="13.88671875" customWidth="1"/>
    <col min="4" max="4" width="11.5546875" bestFit="1" customWidth="1"/>
    <col min="5" max="5" width="10.77734375" customWidth="1"/>
  </cols>
  <sheetData>
    <row r="1" spans="2:12" ht="25.2" x14ac:dyDescent="0.6">
      <c r="B1" s="118" t="s">
        <v>138</v>
      </c>
      <c r="C1" s="118"/>
      <c r="D1" s="118"/>
      <c r="E1" s="118"/>
      <c r="F1" s="118"/>
      <c r="G1" s="118"/>
      <c r="H1" s="118"/>
      <c r="I1" s="118"/>
      <c r="J1" s="118"/>
      <c r="K1" s="118"/>
      <c r="L1" s="118"/>
    </row>
    <row r="2" spans="2:12" x14ac:dyDescent="0.3">
      <c r="B2" s="99" t="s">
        <v>280</v>
      </c>
      <c r="C2" s="12"/>
      <c r="D2" s="12"/>
      <c r="E2" s="12"/>
      <c r="F2" s="12"/>
      <c r="G2" s="12"/>
      <c r="H2" s="12"/>
      <c r="I2" s="12"/>
      <c r="J2" s="12"/>
      <c r="K2" s="12"/>
      <c r="L2" s="12"/>
    </row>
    <row r="3" spans="2:12" x14ac:dyDescent="0.3">
      <c r="F3" t="s">
        <v>271</v>
      </c>
    </row>
    <row r="4" spans="2:12" x14ac:dyDescent="0.3">
      <c r="E4" t="str">
        <f>INDEX(H5:H8,MATCH(F4,I5:I8,0))</f>
        <v>Yearly</v>
      </c>
      <c r="F4">
        <v>360</v>
      </c>
      <c r="I4" t="s">
        <v>271</v>
      </c>
    </row>
    <row r="5" spans="2:12" ht="15.6" x14ac:dyDescent="0.3">
      <c r="B5" s="95" t="s">
        <v>2</v>
      </c>
      <c r="C5" s="3" t="s">
        <v>3</v>
      </c>
      <c r="D5" s="3" t="s">
        <v>4</v>
      </c>
      <c r="H5" t="s">
        <v>270</v>
      </c>
      <c r="I5">
        <v>30</v>
      </c>
    </row>
    <row r="6" spans="2:12" x14ac:dyDescent="0.3">
      <c r="B6" s="9" t="s">
        <v>266</v>
      </c>
      <c r="C6" s="96">
        <f>IFERROR('Consolidated Income Statement'!B5,0)</f>
        <v>168824</v>
      </c>
      <c r="D6" s="96">
        <f>IFERROR('Consolidated Income Statement'!C5,0)</f>
        <v>175006</v>
      </c>
      <c r="H6" t="s">
        <v>272</v>
      </c>
      <c r="I6">
        <v>90</v>
      </c>
    </row>
    <row r="7" spans="2:12" x14ac:dyDescent="0.3">
      <c r="B7" s="9" t="s">
        <v>267</v>
      </c>
      <c r="C7" s="96">
        <f>-IFERROR(('Consolidated Income Statement'!B18-SUM('Consolidated Income Statement'!B14:B17))*-1,0)</f>
        <v>99142</v>
      </c>
      <c r="D7" s="96">
        <f>-IFERROR(('Consolidated Income Statement'!C18-SUM('Consolidated Income Statement'!C14:C17))*-1,0)</f>
        <v>101678</v>
      </c>
      <c r="H7" t="s">
        <v>273</v>
      </c>
      <c r="I7">
        <v>180</v>
      </c>
    </row>
    <row r="8" spans="2:12" x14ac:dyDescent="0.3">
      <c r="B8" s="9" t="s">
        <v>25</v>
      </c>
      <c r="C8" s="25">
        <f>IFERROR('Consolidated Balance Sheet'!B26,0)</f>
        <v>11655</v>
      </c>
      <c r="D8" s="25">
        <f>IFERROR('Consolidated Balance Sheet'!C26,0)</f>
        <v>8030</v>
      </c>
      <c r="H8" t="s">
        <v>274</v>
      </c>
      <c r="I8">
        <v>360</v>
      </c>
    </row>
    <row r="9" spans="2:12" x14ac:dyDescent="0.3">
      <c r="B9" s="9" t="s">
        <v>22</v>
      </c>
      <c r="C9" s="96">
        <f>IFERROR('Consolidated Balance Sheet'!B23,0)</f>
        <v>34956</v>
      </c>
      <c r="D9" s="96">
        <f>IFERROR('Consolidated Balance Sheet'!C23,0)</f>
        <v>37815</v>
      </c>
    </row>
    <row r="10" spans="2:12" x14ac:dyDescent="0.3">
      <c r="B10" s="9" t="s">
        <v>24</v>
      </c>
      <c r="C10" s="96">
        <f>IFERROR('Consolidated Balance Sheet'!B25,0)</f>
        <v>8415</v>
      </c>
      <c r="D10" s="96">
        <f>IFERROR('Consolidated Balance Sheet'!C25,0)</f>
        <v>7548</v>
      </c>
    </row>
    <row r="11" spans="2:12" x14ac:dyDescent="0.3">
      <c r="B11" s="9" t="s">
        <v>268</v>
      </c>
      <c r="C11" s="96">
        <f>IFERROR(SUM('Consolidated Balance Sheet'!B56,'Consolidated Balance Sheet'!B57),0)</f>
        <v>12018</v>
      </c>
      <c r="D11" s="96">
        <f>IFERROR(SUM('Consolidated Balance Sheet'!C56,'Consolidated Balance Sheet'!C57),0)</f>
        <v>15711</v>
      </c>
    </row>
    <row r="13" spans="2:12" x14ac:dyDescent="0.3">
      <c r="B13" t="s">
        <v>269</v>
      </c>
      <c r="C13" s="98">
        <f>IFERROR((C10/C6)*$F$4,0)</f>
        <v>17.944131166184903</v>
      </c>
      <c r="D13" s="98">
        <f>IFERROR((D10/D6)*$F$4,0)</f>
        <v>15.526781938904952</v>
      </c>
      <c r="E13" t="s">
        <v>140</v>
      </c>
    </row>
    <row r="14" spans="2:12" x14ac:dyDescent="0.3">
      <c r="B14" t="s">
        <v>275</v>
      </c>
      <c r="C14" s="98">
        <f>IFERROR((C11/C6)*$F$4,0)</f>
        <v>25.627162014879399</v>
      </c>
      <c r="D14" s="98">
        <f>IFERROR((D11/D6)*$F$4,0)</f>
        <v>32.318663360113369</v>
      </c>
    </row>
    <row r="15" spans="2:12" x14ac:dyDescent="0.3">
      <c r="B15" t="s">
        <v>276</v>
      </c>
      <c r="C15" s="98">
        <f>IFERROR((C9/C7)*$F$4,0)</f>
        <v>126.93066510661475</v>
      </c>
      <c r="D15" s="98">
        <f>IFERROR((D9/D7)*$F$4,0)</f>
        <v>133.88736993253212</v>
      </c>
    </row>
    <row r="17" spans="2:6" x14ac:dyDescent="0.3">
      <c r="B17" t="s">
        <v>278</v>
      </c>
    </row>
    <row r="18" spans="2:6" x14ac:dyDescent="0.3">
      <c r="B18" t="s">
        <v>277</v>
      </c>
      <c r="C18" s="96">
        <f>IFERROR(SUM(C8:C10)-C11,0)</f>
        <v>43008</v>
      </c>
      <c r="D18" s="96">
        <f>IFERROR(SUM(D8:D10)-D11,0)</f>
        <v>37682</v>
      </c>
      <c r="F18" s="97" t="s">
        <v>279</v>
      </c>
    </row>
    <row r="19" spans="2:6" x14ac:dyDescent="0.3">
      <c r="F19" s="97" t="s">
        <v>281</v>
      </c>
    </row>
    <row r="22" spans="2:6" x14ac:dyDescent="0.3">
      <c r="B22" t="s">
        <v>282</v>
      </c>
    </row>
    <row r="23" spans="2:6" x14ac:dyDescent="0.3">
      <c r="B23" s="97" t="s">
        <v>283</v>
      </c>
    </row>
    <row r="24" spans="2:6" x14ac:dyDescent="0.3">
      <c r="B24" s="97" t="s">
        <v>284</v>
      </c>
    </row>
    <row r="25" spans="2:6" x14ac:dyDescent="0.3">
      <c r="B25" s="97" t="s">
        <v>285</v>
      </c>
    </row>
    <row r="26" spans="2:6" x14ac:dyDescent="0.3">
      <c r="B26" s="97" t="s">
        <v>286</v>
      </c>
    </row>
    <row r="28" spans="2:6" x14ac:dyDescent="0.3">
      <c r="B28" s="97" t="s">
        <v>287</v>
      </c>
    </row>
  </sheetData>
  <mergeCells count="1">
    <mergeCell ref="B1:L1"/>
  </mergeCells>
  <phoneticPr fontId="38" type="noConversion"/>
  <dataValidations count="1">
    <dataValidation type="list" allowBlank="1" showInputMessage="1" showErrorMessage="1" sqref="F4" xr:uid="{4E2E7052-7D03-444C-AA00-8984C34312D1}">
      <formula1>$I$5:$I$8</formula1>
    </dataValidation>
  </dataValidations>
  <pageMargins left="0.7" right="0.7" top="0.75" bottom="0.75" header="0.3" footer="0.3"/>
  <ignoredErrors>
    <ignoredError sqref="C7:D7" formulaRange="1"/>
  </ignoredError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Standalone Balance Sheet</vt:lpstr>
      <vt:lpstr>Standalone Income Statement</vt:lpstr>
      <vt:lpstr>Consolidated Balance Sheet</vt:lpstr>
      <vt:lpstr>Consolidated Income Statement</vt:lpstr>
      <vt:lpstr>Cash Flow Statment</vt:lpstr>
      <vt:lpstr>WACC</vt:lpstr>
      <vt:lpstr>Working Capital 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prashant THAKUR</cp:lastModifiedBy>
  <cp:revision>0</cp:revision>
  <dcterms:created xsi:type="dcterms:W3CDTF">2026-03-06T09:50:57Z</dcterms:created>
  <dcterms:modified xsi:type="dcterms:W3CDTF">2026-08-31T19:24:54Z</dcterms:modified>
  <dc:language>en-US</dc:language>
</cp:coreProperties>
</file>