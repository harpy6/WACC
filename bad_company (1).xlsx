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mc:AlternateContent xmlns:mc="http://schemas.openxmlformats.org/markup-compatibility/2006">
    <mc:Choice Requires="x15">
      <x15ac:absPath xmlns:x15ac="http://schemas.microsoft.com/office/spreadsheetml/2010/11/ac" url="D:\CORPOATE FI\"/>
    </mc:Choice>
  </mc:AlternateContent>
  <xr:revisionPtr revIDLastSave="0" documentId="13_ncr:1_{1B87604E-6A01-4EA1-BC93-1968CDF39EE1}" xr6:coauthVersionLast="47" xr6:coauthVersionMax="47" xr10:uidLastSave="{00000000-0000-0000-0000-000000000000}"/>
  <bookViews>
    <workbookView xWindow="-108" yWindow="-108" windowWidth="23256" windowHeight="12456" tabRatio="500" activeTab="6" xr2:uid="{00000000-000D-0000-FFFF-FFFF00000000}"/>
  </bookViews>
  <sheets>
    <sheet name="Balance Sheet" sheetId="1" r:id="rId1"/>
    <sheet name="Profit &amp; Loss" sheetId="2" r:id="rId2"/>
    <sheet name="Cash Flow" sheetId="3" r:id="rId3"/>
    <sheet name="Notes to Accounts" sheetId="6" r:id="rId4"/>
    <sheet name="Beta" sheetId="5" r:id="rId5"/>
    <sheet name="WACC" sheetId="4" r:id="rId6"/>
    <sheet name="wc" sheetId="7" r:id="rId7"/>
  </sheets>
  <externalReferences>
    <externalReference r:id="rId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2" i="4" l="1"/>
  <c r="H12" i="4"/>
  <c r="C18" i="7"/>
  <c r="D7" i="7"/>
  <c r="C7" i="7"/>
  <c r="C15" i="7" s="1"/>
  <c r="C14" i="7"/>
  <c r="C13" i="7"/>
  <c r="D11" i="7" l="1"/>
  <c r="C11" i="7"/>
  <c r="C10" i="7"/>
  <c r="D10" i="7"/>
  <c r="D9" i="7"/>
  <c r="C9" i="7"/>
  <c r="D8" i="7"/>
  <c r="C8" i="7"/>
  <c r="D6" i="7"/>
  <c r="C6" i="7"/>
  <c r="E4" i="7"/>
  <c r="D15" i="7" l="1"/>
  <c r="D18" i="7"/>
  <c r="D13" i="7"/>
  <c r="D14" i="7"/>
  <c r="G22" i="4" l="1"/>
  <c r="P32" i="4" s="1"/>
  <c r="J176" i="5" l="1"/>
  <c r="F176" i="5"/>
  <c r="J175" i="5"/>
  <c r="F175" i="5"/>
  <c r="J174" i="5"/>
  <c r="F174" i="5"/>
  <c r="J173" i="5"/>
  <c r="F173" i="5"/>
  <c r="J172" i="5"/>
  <c r="F172" i="5"/>
  <c r="J171" i="5"/>
  <c r="F171" i="5"/>
  <c r="J170" i="5"/>
  <c r="F170" i="5"/>
  <c r="J169" i="5"/>
  <c r="F169" i="5"/>
  <c r="J168" i="5"/>
  <c r="F168" i="5"/>
  <c r="J167" i="5"/>
  <c r="F167" i="5"/>
  <c r="J166" i="5"/>
  <c r="F166" i="5"/>
  <c r="J165" i="5"/>
  <c r="F165" i="5"/>
  <c r="J164" i="5"/>
  <c r="F164" i="5"/>
  <c r="J163" i="5"/>
  <c r="F163" i="5"/>
  <c r="J162" i="5"/>
  <c r="F162" i="5"/>
  <c r="J161" i="5"/>
  <c r="F161" i="5"/>
  <c r="J160" i="5"/>
  <c r="F160" i="5"/>
  <c r="J159" i="5"/>
  <c r="F159" i="5"/>
  <c r="J158" i="5"/>
  <c r="F158" i="5"/>
  <c r="J157" i="5"/>
  <c r="F157" i="5"/>
  <c r="J156" i="5"/>
  <c r="F156" i="5"/>
  <c r="J155" i="5"/>
  <c r="F155" i="5"/>
  <c r="J154" i="5"/>
  <c r="F154" i="5"/>
  <c r="J153" i="5"/>
  <c r="F153" i="5"/>
  <c r="J152" i="5"/>
  <c r="F152" i="5"/>
  <c r="J151" i="5"/>
  <c r="F151" i="5"/>
  <c r="J150" i="5"/>
  <c r="F150" i="5"/>
  <c r="J149" i="5"/>
  <c r="F149" i="5"/>
  <c r="J148" i="5"/>
  <c r="F148" i="5"/>
  <c r="J147" i="5"/>
  <c r="F147" i="5"/>
  <c r="J146" i="5"/>
  <c r="F146" i="5"/>
  <c r="J145" i="5"/>
  <c r="F145" i="5"/>
  <c r="J144" i="5"/>
  <c r="F144" i="5"/>
  <c r="J143" i="5"/>
  <c r="F143" i="5"/>
  <c r="J142" i="5"/>
  <c r="F142" i="5"/>
  <c r="J141" i="5"/>
  <c r="F141" i="5"/>
  <c r="J140" i="5"/>
  <c r="F140" i="5"/>
  <c r="J139" i="5"/>
  <c r="F139" i="5"/>
  <c r="J138" i="5"/>
  <c r="F138" i="5"/>
  <c r="J137" i="5"/>
  <c r="F137" i="5"/>
  <c r="J136" i="5"/>
  <c r="F136" i="5"/>
  <c r="J135" i="5"/>
  <c r="F135" i="5"/>
  <c r="J134" i="5"/>
  <c r="F134" i="5"/>
  <c r="J133" i="5"/>
  <c r="F133" i="5"/>
  <c r="J132" i="5"/>
  <c r="F132" i="5"/>
  <c r="J131" i="5"/>
  <c r="F131" i="5"/>
  <c r="J130" i="5"/>
  <c r="F130" i="5"/>
  <c r="J129" i="5"/>
  <c r="F129" i="5"/>
  <c r="J128" i="5"/>
  <c r="F128" i="5"/>
  <c r="J127" i="5"/>
  <c r="F127" i="5"/>
  <c r="J126" i="5"/>
  <c r="F126" i="5"/>
  <c r="J125" i="5"/>
  <c r="F125" i="5"/>
  <c r="J124" i="5"/>
  <c r="F124" i="5"/>
  <c r="J123" i="5"/>
  <c r="F123" i="5"/>
  <c r="J122" i="5"/>
  <c r="F122" i="5"/>
  <c r="J121" i="5"/>
  <c r="F121" i="5"/>
  <c r="J120" i="5"/>
  <c r="F120" i="5"/>
  <c r="J119" i="5"/>
  <c r="F119" i="5"/>
  <c r="J118" i="5"/>
  <c r="F118" i="5"/>
  <c r="J117" i="5"/>
  <c r="F117" i="5"/>
  <c r="J116" i="5"/>
  <c r="F116" i="5"/>
  <c r="J115" i="5"/>
  <c r="F115" i="5"/>
  <c r="J114" i="5"/>
  <c r="F114" i="5"/>
  <c r="J113" i="5"/>
  <c r="F113" i="5"/>
  <c r="J112" i="5"/>
  <c r="F112" i="5"/>
  <c r="J111" i="5"/>
  <c r="F111" i="5"/>
  <c r="J110" i="5"/>
  <c r="F110" i="5"/>
  <c r="J109" i="5"/>
  <c r="F109" i="5"/>
  <c r="J108" i="5"/>
  <c r="F108" i="5"/>
  <c r="J107" i="5"/>
  <c r="F107" i="5"/>
  <c r="J106" i="5"/>
  <c r="F106" i="5"/>
  <c r="J105" i="5"/>
  <c r="F105" i="5"/>
  <c r="J104" i="5"/>
  <c r="F104" i="5"/>
  <c r="J103" i="5"/>
  <c r="F103" i="5"/>
  <c r="J102" i="5"/>
  <c r="F102" i="5"/>
  <c r="J101" i="5"/>
  <c r="F101" i="5"/>
  <c r="J100" i="5"/>
  <c r="F100" i="5"/>
  <c r="J99" i="5"/>
  <c r="F99" i="5"/>
  <c r="J98" i="5"/>
  <c r="F98" i="5"/>
  <c r="J97" i="5"/>
  <c r="F97" i="5"/>
  <c r="J96" i="5"/>
  <c r="F96" i="5"/>
  <c r="J95" i="5"/>
  <c r="F95" i="5"/>
  <c r="J94" i="5"/>
  <c r="F94" i="5"/>
  <c r="J93" i="5"/>
  <c r="F93" i="5"/>
  <c r="J92" i="5"/>
  <c r="F92" i="5"/>
  <c r="J91" i="5"/>
  <c r="F91" i="5"/>
  <c r="J90" i="5"/>
  <c r="F90" i="5"/>
  <c r="J89" i="5"/>
  <c r="F89" i="5"/>
  <c r="J88" i="5"/>
  <c r="F88" i="5"/>
  <c r="J87" i="5"/>
  <c r="F87" i="5"/>
  <c r="J86" i="5"/>
  <c r="F86" i="5"/>
  <c r="J85" i="5"/>
  <c r="F85" i="5"/>
  <c r="J84" i="5"/>
  <c r="F84" i="5"/>
  <c r="J83" i="5"/>
  <c r="F83" i="5"/>
  <c r="J82" i="5"/>
  <c r="F82" i="5"/>
  <c r="J81" i="5"/>
  <c r="F81" i="5"/>
  <c r="J80" i="5"/>
  <c r="F80" i="5"/>
  <c r="J79" i="5"/>
  <c r="F79" i="5"/>
  <c r="J78" i="5"/>
  <c r="F78" i="5"/>
  <c r="J77" i="5"/>
  <c r="F77" i="5"/>
  <c r="J76" i="5"/>
  <c r="F76" i="5"/>
  <c r="J75" i="5"/>
  <c r="F75" i="5"/>
  <c r="J74" i="5"/>
  <c r="F74" i="5"/>
  <c r="J73" i="5"/>
  <c r="F73" i="5"/>
  <c r="J72" i="5"/>
  <c r="F72" i="5"/>
  <c r="J71" i="5"/>
  <c r="F71" i="5"/>
  <c r="J70" i="5"/>
  <c r="F70" i="5"/>
  <c r="J69" i="5"/>
  <c r="F69" i="5"/>
  <c r="J68" i="5"/>
  <c r="F68" i="5"/>
  <c r="J67" i="5"/>
  <c r="F67" i="5"/>
  <c r="J66" i="5"/>
  <c r="F66" i="5"/>
  <c r="J65" i="5"/>
  <c r="F65" i="5"/>
  <c r="J64" i="5"/>
  <c r="F64" i="5"/>
  <c r="J63" i="5"/>
  <c r="F63" i="5"/>
  <c r="J62" i="5"/>
  <c r="F62" i="5"/>
  <c r="J61" i="5"/>
  <c r="F61" i="5"/>
  <c r="J60" i="5"/>
  <c r="F60" i="5"/>
  <c r="J59" i="5"/>
  <c r="F59" i="5"/>
  <c r="J58" i="5"/>
  <c r="F58" i="5"/>
  <c r="J57" i="5"/>
  <c r="F57" i="5"/>
  <c r="J56" i="5"/>
  <c r="F56" i="5"/>
  <c r="J55" i="5"/>
  <c r="F55" i="5"/>
  <c r="J54" i="5"/>
  <c r="F54" i="5"/>
  <c r="J53" i="5"/>
  <c r="F53" i="5"/>
  <c r="J52" i="5"/>
  <c r="F52" i="5"/>
  <c r="J51" i="5"/>
  <c r="F51" i="5"/>
  <c r="J50" i="5"/>
  <c r="F50" i="5"/>
  <c r="J49" i="5"/>
  <c r="F49" i="5"/>
  <c r="J48" i="5"/>
  <c r="F48" i="5"/>
  <c r="J47" i="5"/>
  <c r="F47" i="5"/>
  <c r="J46" i="5"/>
  <c r="F46" i="5"/>
  <c r="J45" i="5"/>
  <c r="F45" i="5"/>
  <c r="J44" i="5"/>
  <c r="F44" i="5"/>
  <c r="J43" i="5"/>
  <c r="F43" i="5"/>
  <c r="J42" i="5"/>
  <c r="F42" i="5"/>
  <c r="J41" i="5"/>
  <c r="F41" i="5"/>
  <c r="J40" i="5"/>
  <c r="F40" i="5"/>
  <c r="J39" i="5"/>
  <c r="F39" i="5"/>
  <c r="J38" i="5"/>
  <c r="F38" i="5"/>
  <c r="J37" i="5"/>
  <c r="F37" i="5"/>
  <c r="J36" i="5"/>
  <c r="F36" i="5"/>
  <c r="J35" i="5"/>
  <c r="F35" i="5"/>
  <c r="J34" i="5"/>
  <c r="F34" i="5"/>
  <c r="J33" i="5"/>
  <c r="F33" i="5"/>
  <c r="J32" i="5"/>
  <c r="F32" i="5"/>
  <c r="J31" i="5"/>
  <c r="F31" i="5"/>
  <c r="J30" i="5"/>
  <c r="F30" i="5"/>
  <c r="J29" i="5"/>
  <c r="F29" i="5"/>
  <c r="J28" i="5"/>
  <c r="F28" i="5"/>
  <c r="J27" i="5"/>
  <c r="F27" i="5"/>
  <c r="J26" i="5"/>
  <c r="F26" i="5"/>
  <c r="J25" i="5"/>
  <c r="F25" i="5"/>
  <c r="J24" i="5"/>
  <c r="F24" i="5"/>
  <c r="J23" i="5"/>
  <c r="F23" i="5"/>
  <c r="J22" i="5"/>
  <c r="F22" i="5"/>
  <c r="J21" i="5"/>
  <c r="F21" i="5"/>
  <c r="J20" i="5"/>
  <c r="F20" i="5"/>
  <c r="J19" i="5"/>
  <c r="F19" i="5"/>
  <c r="J18" i="5"/>
  <c r="F18" i="5"/>
  <c r="J17" i="5"/>
  <c r="F17" i="5"/>
  <c r="J16" i="5"/>
  <c r="F16" i="5"/>
  <c r="J15" i="5"/>
  <c r="F15" i="5"/>
  <c r="J14" i="5"/>
  <c r="F14" i="5"/>
  <c r="J13" i="5"/>
  <c r="F13" i="5"/>
  <c r="J12" i="5"/>
  <c r="F12" i="5"/>
  <c r="J11" i="5"/>
  <c r="F11" i="5"/>
  <c r="J10" i="5"/>
  <c r="F10" i="5"/>
  <c r="O9" i="5"/>
  <c r="J9" i="5"/>
  <c r="F9" i="5"/>
  <c r="O8" i="5"/>
  <c r="Q24" i="4" s="1"/>
  <c r="P31" i="4" s="1"/>
  <c r="Q34" i="4" s="1"/>
  <c r="I12" i="4" s="1"/>
  <c r="N11" i="4" s="1"/>
  <c r="J8" i="5"/>
  <c r="F8" i="5"/>
  <c r="J7" i="5"/>
  <c r="F7" i="5"/>
  <c r="J6" i="5"/>
  <c r="F6" i="5"/>
  <c r="J5" i="5"/>
  <c r="F5" i="5"/>
  <c r="J4" i="5"/>
  <c r="F4" i="5"/>
  <c r="F41" i="4"/>
  <c r="I40" i="4"/>
  <c r="F40" i="4" s="1"/>
  <c r="F42" i="4" s="1"/>
  <c r="J12" i="4" s="1"/>
  <c r="N13" i="4" s="1"/>
  <c r="C33" i="4"/>
  <c r="C32" i="4"/>
  <c r="Q31" i="4"/>
  <c r="N30" i="4"/>
  <c r="D30" i="4"/>
  <c r="N29" i="4"/>
  <c r="D29" i="4"/>
  <c r="N28" i="4"/>
  <c r="D28" i="4"/>
  <c r="N27" i="4"/>
  <c r="D27" i="4"/>
  <c r="P26" i="4"/>
  <c r="N26" i="4"/>
  <c r="D26" i="4"/>
  <c r="N25" i="4"/>
  <c r="D25" i="4"/>
  <c r="N24" i="4"/>
  <c r="D24" i="4"/>
  <c r="H21" i="4" s="1"/>
  <c r="H23" i="4" s="1"/>
  <c r="N23" i="4"/>
  <c r="D23" i="4"/>
  <c r="N22" i="4"/>
  <c r="D22" i="4"/>
  <c r="R21" i="4"/>
  <c r="R23" i="4" s="1"/>
  <c r="I21" i="4"/>
  <c r="G12" i="4"/>
  <c r="N12" i="4" s="1"/>
  <c r="N14" i="4"/>
  <c r="N15" i="4" s="1"/>
  <c r="D12" i="4"/>
  <c r="D14" i="4" s="1"/>
  <c r="P25" i="4" l="1"/>
</calcChain>
</file>

<file path=xl/sharedStrings.xml><?xml version="1.0" encoding="utf-8"?>
<sst xmlns="http://schemas.openxmlformats.org/spreadsheetml/2006/main" count="614" uniqueCount="458">
  <si>
    <t>HOUSING DEVELOPMENT AND INFRASTRUCTURE LIMITED</t>
  </si>
  <si>
    <t>Balance Sheet as at 31st March 2025  |  (INR in Lakhs)</t>
  </si>
  <si>
    <t>Note</t>
  </si>
  <si>
    <t>Particulars</t>
  </si>
  <si>
    <t>31st March 2025
(Audited)</t>
  </si>
  <si>
    <t>31st March 2024
(Audited)</t>
  </si>
  <si>
    <t>ASSETS</t>
  </si>
  <si>
    <t>Non-Current Assets</t>
  </si>
  <si>
    <t>2</t>
  </si>
  <si>
    <t xml:space="preserve">  Property, Plant and Equipment (Net)</t>
  </si>
  <si>
    <t>3</t>
  </si>
  <si>
    <t xml:space="preserve">  Investment Property</t>
  </si>
  <si>
    <t>4</t>
  </si>
  <si>
    <t xml:space="preserve">  Non-Current Investments</t>
  </si>
  <si>
    <t>5</t>
  </si>
  <si>
    <t xml:space="preserve">  Other Non-Current Financial Assets</t>
  </si>
  <si>
    <t>Current Assets</t>
  </si>
  <si>
    <t>6</t>
  </si>
  <si>
    <t xml:space="preserve">  Inventories</t>
  </si>
  <si>
    <t>7</t>
  </si>
  <si>
    <t xml:space="preserve">  Current Investments</t>
  </si>
  <si>
    <t>8</t>
  </si>
  <si>
    <t xml:space="preserve">  Trade Receivables</t>
  </si>
  <si>
    <t>9</t>
  </si>
  <si>
    <t xml:space="preserve">  Cash and Cash Equivalents</t>
  </si>
  <si>
    <t>10</t>
  </si>
  <si>
    <t xml:space="preserve">  Bank Balances Other than above</t>
  </si>
  <si>
    <t>11</t>
  </si>
  <si>
    <t xml:space="preserve">  Other Current Financial Assets</t>
  </si>
  <si>
    <t>12</t>
  </si>
  <si>
    <t xml:space="preserve">  Other Current Assets</t>
  </si>
  <si>
    <t>13</t>
  </si>
  <si>
    <t xml:space="preserve">  Current Tax Assets (Net)</t>
  </si>
  <si>
    <t>TOTAL ASSETS</t>
  </si>
  <si>
    <t>EQUITY AND LIABILITIES</t>
  </si>
  <si>
    <t>Equity</t>
  </si>
  <si>
    <t>14</t>
  </si>
  <si>
    <t xml:space="preserve">  Equity Share Capital</t>
  </si>
  <si>
    <t>15</t>
  </si>
  <si>
    <t xml:space="preserve">  Other Equity (Deficit)</t>
  </si>
  <si>
    <t>Non-Current Liabilities</t>
  </si>
  <si>
    <t>16</t>
  </si>
  <si>
    <t xml:space="preserve">  Non-Current Borrowings</t>
  </si>
  <si>
    <t>18</t>
  </si>
  <si>
    <t xml:space="preserve">  Non-Current Provisions</t>
  </si>
  <si>
    <t>Current Liabilities</t>
  </si>
  <si>
    <t xml:space="preserve">  Current Borrowings</t>
  </si>
  <si>
    <t>17</t>
  </si>
  <si>
    <t xml:space="preserve">  Trade Payables</t>
  </si>
  <si>
    <t xml:space="preserve">  Other Financial Liabilities (Current)</t>
  </si>
  <si>
    <t>19</t>
  </si>
  <si>
    <t xml:space="preserve">  Other Current Liabilities</t>
  </si>
  <si>
    <t>20</t>
  </si>
  <si>
    <t xml:space="preserve">  Current Provisions</t>
  </si>
  <si>
    <t>TOTAL EQUITY AND LIABILITIES</t>
  </si>
  <si>
    <t>source : Finanacial statement from company website</t>
  </si>
  <si>
    <t>Note: Auditors (Dayal &amp; Lohia) issued a Disclaimer of Opinion. Net worth is deeply negative. Company is under CIRP since August 2019.</t>
  </si>
  <si>
    <t>Statement of Profit and Loss for the Year Ended 31st March 2025  |  (INR in Lakhs)</t>
  </si>
  <si>
    <t>Year Ended
31st March 2025</t>
  </si>
  <si>
    <t>Year Ended
31st March 2024</t>
  </si>
  <si>
    <t>INCOME</t>
  </si>
  <si>
    <t>22</t>
  </si>
  <si>
    <t xml:space="preserve">  Revenue from Operations</t>
  </si>
  <si>
    <t>23</t>
  </si>
  <si>
    <t xml:space="preserve">  Other Income</t>
  </si>
  <si>
    <t>Total Income</t>
  </si>
  <si>
    <t>EXPENSES</t>
  </si>
  <si>
    <t>24</t>
  </si>
  <si>
    <t xml:space="preserve">  Changes in Inventories of Finished Goods &amp; WIP</t>
  </si>
  <si>
    <t>25</t>
  </si>
  <si>
    <t xml:space="preserve">  Employee Benefits Expense</t>
  </si>
  <si>
    <t>2&amp;3</t>
  </si>
  <si>
    <t xml:space="preserve">  Depreciation and Amortisation Expense</t>
  </si>
  <si>
    <t>26</t>
  </si>
  <si>
    <t xml:space="preserve">  Other Expenses</t>
  </si>
  <si>
    <t>Total Expenses</t>
  </si>
  <si>
    <t xml:space="preserve">  Loss Before Exceptional Items and Tax</t>
  </si>
  <si>
    <t>27</t>
  </si>
  <si>
    <t xml:space="preserve">  Exceptional Items – Reversal of Depreciation on Fixed Assets</t>
  </si>
  <si>
    <t>Loss Before Tax</t>
  </si>
  <si>
    <t xml:space="preserve">  Tax Expense – Current Tax</t>
  </si>
  <si>
    <t xml:space="preserve">  Tax Expense – Deferred Tax</t>
  </si>
  <si>
    <t>Loss for the Period (PAT)</t>
  </si>
  <si>
    <t>28</t>
  </si>
  <si>
    <t xml:space="preserve">  Basic Earnings Per Share (₹)</t>
  </si>
  <si>
    <t xml:space="preserve">  Diluted Earnings Per Share (₹)</t>
  </si>
  <si>
    <t>Cash Flow Statement for the Year Ended 31st March 2025  |  (INR in Lakhs)</t>
  </si>
  <si>
    <t>31st March 2025</t>
  </si>
  <si>
    <t>31st March 2024</t>
  </si>
  <si>
    <t>Cash Flow from Operating Activities</t>
  </si>
  <si>
    <t xml:space="preserve">  Loss for the Period</t>
  </si>
  <si>
    <t xml:space="preserve">  Adjustments:</t>
  </si>
  <si>
    <t xml:space="preserve">    Depreciation &amp; Amortisation</t>
  </si>
  <si>
    <t xml:space="preserve">    Interest Received</t>
  </si>
  <si>
    <t xml:space="preserve">    Non-Cash Adjustments during the year</t>
  </si>
  <si>
    <t xml:space="preserve">    Investment Written Off during the year</t>
  </si>
  <si>
    <t xml:space="preserve">  Operating Profit before Working Capital Changes</t>
  </si>
  <si>
    <t xml:space="preserve">  Decrease/(Increase) in Inventories</t>
  </si>
  <si>
    <t xml:space="preserve">  Decrease/(Increase) in Trade Receivables</t>
  </si>
  <si>
    <t xml:space="preserve">  (Decrease)/Increase in Trade Payables</t>
  </si>
  <si>
    <t xml:space="preserve">  (Decrease)/Increase in Financial Liabilities</t>
  </si>
  <si>
    <t xml:space="preserve">  (Decrease)/Increase in Other Current Assets</t>
  </si>
  <si>
    <t xml:space="preserve">  (Decrease)/Increase in Other Current Liabilities</t>
  </si>
  <si>
    <t xml:space="preserve">  Net Movement in Working Capital</t>
  </si>
  <si>
    <t xml:space="preserve">  Cash Generated from Operations</t>
  </si>
  <si>
    <t xml:space="preserve">  Direct Taxes Paid (Net)</t>
  </si>
  <si>
    <t xml:space="preserve">  Net Cash from Operating Activities (before exceptional)</t>
  </si>
  <si>
    <t xml:space="preserve">  Exceptional Items</t>
  </si>
  <si>
    <t>A NET</t>
  </si>
  <si>
    <t xml:space="preserve">  Net Cash from Operating Activities (after exceptional)</t>
  </si>
  <si>
    <t>Cash Flows from Investing Activities</t>
  </si>
  <si>
    <t>B NET</t>
  </si>
  <si>
    <t xml:space="preserve">  Net Cash Used in Investing Activities</t>
  </si>
  <si>
    <t>Cash Flows from Financing Activities</t>
  </si>
  <si>
    <t>C NET</t>
  </si>
  <si>
    <t xml:space="preserve">  Net Cash from Financing Activities</t>
  </si>
  <si>
    <t xml:space="preserve">  Net Increase/(Decrease) in Cash &amp; Equivalents</t>
  </si>
  <si>
    <t xml:space="preserve">  Cash at Beginning of Year</t>
  </si>
  <si>
    <t xml:space="preserve">  Cash at End of Year</t>
  </si>
  <si>
    <t>NOTES TO CASH FLOW STATEMENT</t>
  </si>
  <si>
    <t>Note 1: Components of Cash and Cash Equivalents (as at year end)</t>
  </si>
  <si>
    <t>Cash on Hand</t>
  </si>
  <si>
    <t>Balances with Banks:</t>
  </si>
  <si>
    <t xml:space="preserve">  - On Current Account</t>
  </si>
  <si>
    <t xml:space="preserve">  - On Escrow Account</t>
  </si>
  <si>
    <t xml:space="preserve">  - On Deposit Account (Fixed Deposits &lt; 1 year maturity)</t>
  </si>
  <si>
    <t xml:space="preserve">  - In Overdraft with Bank</t>
  </si>
  <si>
    <t>Total Cash and Cash Equivalents (A)</t>
  </si>
  <si>
    <t>Note 2: Bank Balances Other Than Cash &amp; Cash Equivalents (Note No. 10)</t>
  </si>
  <si>
    <t>In Fixed Deposit with less than a year maturity</t>
  </si>
  <si>
    <t>Interest Accrued on Fixed Deposits</t>
  </si>
  <si>
    <t>Total Bank Balances (B)</t>
  </si>
  <si>
    <t>Note 3: Reconciliation of Cash &amp; Cash Equivalents</t>
  </si>
  <si>
    <t>Cash and Cash Equivalents (A) - as per Cash Flow Statement</t>
  </si>
  <si>
    <t>Bank Balances other than Cash &amp; Cash Equivalents (B)</t>
  </si>
  <si>
    <t>Total Cash Including Bank Balances (A + B)</t>
  </si>
  <si>
    <t>Note 4: Auditor Observation on Cash &amp; Cash Equivalents (Note No. 9 from Financial Statements)</t>
  </si>
  <si>
    <t>i)  No physical cash was available in Main Cash Book and Imprest Cash to Employees against book balance of INR 39.16 lakhs and INR 27.91 lakhs respectively. Out of total Petty Cash Book balance of INR 0.72 lakhs (Previous year: 0.61 lakhs), physical cash of INR 0.35 lakhs (Previous year: 0.35 lakhs) was not available.
ii) Statements for bank accounts having aggregate negative balances of INR 38.67 lakhs could not be obtained.
iii) Bank balances of INR 272.68 lakhs (Previous year: INR 275.33 lakhs) could not be reconciled with bank statements.
iv) Balance confirmations for accounts with debit book balance aggregating INR 644.47 lakhs and credit book balance aggregating INR 371.79 lakhs could not be obtained from banks (except ICICI Bank).</t>
  </si>
  <si>
    <t>Source: Signed Financial Statements FY 2024-25, Housing Development and Infrastructure Limited (HDIL)</t>
  </si>
  <si>
    <t>HOUSING DEVELOPMENT &amp; INFRASTRUCTURE LTD</t>
  </si>
  <si>
    <t>(All amounts in ₹ Lakhs)</t>
  </si>
  <si>
    <t>Wegithr Average Cost Of Capital</t>
  </si>
  <si>
    <t>All Figure are in INR  unless Stated Otherwise</t>
  </si>
  <si>
    <t xml:space="preserve"> </t>
  </si>
  <si>
    <t xml:space="preserve">Weighted Average Cost of Capital </t>
  </si>
  <si>
    <t>Equity /</t>
  </si>
  <si>
    <t>Debt/</t>
  </si>
  <si>
    <t>Cost of</t>
  </si>
  <si>
    <t>Name oF Company</t>
  </si>
  <si>
    <t>Country</t>
  </si>
  <si>
    <t>Total Equity</t>
  </si>
  <si>
    <t>Total Debt</t>
  </si>
  <si>
    <t>Tax Rate 1</t>
  </si>
  <si>
    <t>Weights</t>
  </si>
  <si>
    <t>Debt</t>
  </si>
  <si>
    <t>Cost of Equity</t>
  </si>
  <si>
    <t>Iindia</t>
  </si>
  <si>
    <t>Equity Weight</t>
  </si>
  <si>
    <t>Cost of Debt</t>
  </si>
  <si>
    <t>Total Capital</t>
  </si>
  <si>
    <t>Debt Weight</t>
  </si>
  <si>
    <t>WACC</t>
  </si>
  <si>
    <t>Capital Assets Pricing Model</t>
  </si>
  <si>
    <t>Nifty 50</t>
  </si>
  <si>
    <t>HDIL</t>
  </si>
  <si>
    <t>Date</t>
  </si>
  <si>
    <t>Close Price</t>
  </si>
  <si>
    <t>Yearly Return</t>
  </si>
  <si>
    <t>Average Return</t>
  </si>
  <si>
    <t>CAGR</t>
  </si>
  <si>
    <t>Total Market Return</t>
  </si>
  <si>
    <t>Beta2</t>
  </si>
  <si>
    <t>Beta1</t>
  </si>
  <si>
    <t>using cov</t>
  </si>
  <si>
    <t>slope</t>
  </si>
  <si>
    <t>RF</t>
  </si>
  <si>
    <t>https://www.bloomberg.com/markets/rates-bonds</t>
  </si>
  <si>
    <t>https://www.nseindia.com/reports-indices-historical-index-data</t>
  </si>
  <si>
    <t>10Years</t>
  </si>
  <si>
    <t>Rm</t>
  </si>
  <si>
    <t>https://www.nseindia.com/report-detail/eq_security</t>
  </si>
  <si>
    <t>ER</t>
  </si>
  <si>
    <t>CAPM</t>
  </si>
  <si>
    <t>Working Note No .2 Kd</t>
  </si>
  <si>
    <t>Calculation oF Interest</t>
  </si>
  <si>
    <t>Pre-Tax Cost of Debt</t>
  </si>
  <si>
    <t>Interest</t>
  </si>
  <si>
    <t>Tax</t>
  </si>
  <si>
    <t>After Tax Cost Debt</t>
  </si>
  <si>
    <t>Nifty50</t>
  </si>
  <si>
    <t xml:space="preserve">Date </t>
  </si>
  <si>
    <t xml:space="preserve">Close </t>
  </si>
  <si>
    <t>Daily return</t>
  </si>
  <si>
    <t xml:space="preserve">Date  </t>
  </si>
  <si>
    <t xml:space="preserve">Close Price  </t>
  </si>
  <si>
    <t>Daily Returns</t>
  </si>
  <si>
    <t>beta</t>
  </si>
  <si>
    <t>HOUSING DEVELOPMENT AND INFRASTRUCTURE LIMITED
Notes Forming Part of the Financial Statements (INR in Lakhs)</t>
  </si>
  <si>
    <t>Note No.</t>
  </si>
  <si>
    <t>Note 2: Property, Plant and Equipment (PPE) and Intangible Assets (Net Block)</t>
  </si>
  <si>
    <t>Description</t>
  </si>
  <si>
    <t>As at 31st March 2025</t>
  </si>
  <si>
    <t>As at 31st March 2024</t>
  </si>
  <si>
    <t>Freehold Land and Buildings</t>
  </si>
  <si>
    <t>Plant and Machinery</t>
  </si>
  <si>
    <t>Furniture and Fixtures</t>
  </si>
  <si>
    <t>Vehicles</t>
  </si>
  <si>
    <t>Office Equipments</t>
  </si>
  <si>
    <t>Computers</t>
  </si>
  <si>
    <t>Property, Plant and Equipment (A)</t>
  </si>
  <si>
    <t>Intangible Assets (B)</t>
  </si>
  <si>
    <t>Grand Total (A+B)</t>
  </si>
  <si>
    <t>Investment Property</t>
  </si>
  <si>
    <t>Lease Out Property</t>
  </si>
  <si>
    <t>Total Investment Property</t>
  </si>
  <si>
    <t>Auditor Note: (i) RP unable to physically verify all PPE. (ii) Documents for immovable property investments of Rs.23,764.28 lakhs not available. (iii) No impairment assessment made due to absence of sufficient information. (iv) No revaluation during the year.</t>
  </si>
  <si>
    <t>Note 4: Non-Current Investments</t>
  </si>
  <si>
    <t>Investments in Equity Instruments - Other than Trade (Unquoted Shares)</t>
  </si>
  <si>
    <t>Punjab &amp; Maharashtra Co-op Bank Ltd (1,90,000 shares @ ₹25/-)</t>
  </si>
  <si>
    <t>Dreams The Mall Company Ltd (93,957 shares @ ₹10/-)</t>
  </si>
  <si>
    <t>In Subsidiary Company (Unquoted Shares)</t>
  </si>
  <si>
    <t>Privilege Power &amp; Infrastructure Pvt Ltd (1,61,05,000 shares @ ₹100/-)</t>
  </si>
  <si>
    <t>Mazda Estates Pvt Ltd (4,10,000 shares @ ₹10/-)</t>
  </si>
  <si>
    <t>Guruashish Construction Pvt Ltd (31,00,000 shares @ ₹100/-)</t>
  </si>
  <si>
    <t>Less: Provision for Investment in Subsidiaries</t>
  </si>
  <si>
    <t>BKC Developers Pvt Ltd</t>
  </si>
  <si>
    <t>Lashkaria Construction Pvt Ltd (98,500 shares @ ₹10/-)</t>
  </si>
  <si>
    <t>BKC Inspire (69,00,000 shares @ ₹10/-)</t>
  </si>
  <si>
    <t>Total Non-Current Investments</t>
  </si>
  <si>
    <t>Aggregate amount of unquoted investments</t>
  </si>
  <si>
    <t>Aggregate amount of impairment in value of investments</t>
  </si>
  <si>
    <t>Auditor Note: Details &amp; documents not available. No impairment assessment made due to insufficient info. Guruashish Construction Pvt Ltd ordered for liquidation by NCLT (04 Sep 2020); provision of INR 29,948.75 lakhs made. Audited financial statements of subsidiaries for FY 2020-21 to 2024-25 not received.</t>
  </si>
  <si>
    <t>Note 5: Other Non-Current Financial Assets</t>
  </si>
  <si>
    <t>Security Deposit</t>
  </si>
  <si>
    <t>Guarantee Obligation Commission</t>
  </si>
  <si>
    <t>Total</t>
  </si>
  <si>
    <t>Auditor Note: Details &amp; documents regarding Guarantee Obligation Commission of INR 777.08 lakhs not available.</t>
  </si>
  <si>
    <t>Note 6: Inventories</t>
  </si>
  <si>
    <t>Work-in-Progress (WIP)</t>
  </si>
  <si>
    <t>Less: Provision for Work-in-Progress</t>
  </si>
  <si>
    <t>Net Work-in-Progress</t>
  </si>
  <si>
    <t>Finished Goods</t>
  </si>
  <si>
    <t>Total Inventories</t>
  </si>
  <si>
    <t>Auditor Note: Physical verification of inventory carried out at time of IRP taking charge. Quantitative records did not match books. Provision of INR 8,33,933.26 lakhs made towards WIP in earlier year. Due to non-availability of sufficient information, adequacy of provisions cannot be commented upon.</t>
  </si>
  <si>
    <t>Note 7: Current Investments</t>
  </si>
  <si>
    <t>Investments in Partnership Firms</t>
  </si>
  <si>
    <t>M/s Fine Developers (Fixed Capital: Nil) - 90% profit share</t>
  </si>
  <si>
    <t>Heritage Housing Development Corporation (Fixed Capital: Nil) - 60% profit share</t>
  </si>
  <si>
    <t>Total Current Investments</t>
  </si>
  <si>
    <t>Auditor Note: Details &amp; documents regarding partnership firm investments not available. No impairment assessment due to insufficient info. Audited financial statements of partnership firms for FY 2024-25 not received.</t>
  </si>
  <si>
    <t>Note 8: Trade Receivables</t>
  </si>
  <si>
    <t>Unsecured, Considered Good (Outstanding &gt; 6 months)</t>
  </si>
  <si>
    <t>Unsecured, Considered Doubtful</t>
  </si>
  <si>
    <t>Less: Provision for Doubtful Debts</t>
  </si>
  <si>
    <t>Total Net Trade Receivables</t>
  </si>
  <si>
    <t>Auditor Note: Unable to obtain sufficient audit evidence regarding recoverability of unsecured debtors of INR 40,633.99 lakhs. Provision of INR 1,78,285.53 lakhs made towards doubtful debts in earlier year - adequacy cannot be commented upon. Bifurcation of transactions with strike-off companies could not be identified.</t>
  </si>
  <si>
    <t>Note 9: Cash and Cash Equivalents</t>
  </si>
  <si>
    <t>Balances with Banks (of the nature of cash and cash equivalents)</t>
  </si>
  <si>
    <t>Current Accounts</t>
  </si>
  <si>
    <t>Current Account Balances in Escrow Account</t>
  </si>
  <si>
    <t>Total Cash and Cash Equivalents</t>
  </si>
  <si>
    <t>Notes: (i) Total cash on hand as per books INR 67.79 lakhs (Prev yr: 67.69 lakhs) — no physical cash in Main Cash Book (INR 39.16 lakhs) and Imprest Cash (INR 27.91 lakhs); Petty Cash physical shortfall INR 0.35 lakhs. (ii) Statements for accounts with aggregate negative balances of INR 38.67 lakhs not obtained. (iii) Bank balances of INR 272.68 lakhs could not be reconciled. (iv) Balance confirmations for debit balance accounts (INR 644.47 lakhs) and credit balance accounts (INR 371.79 lakhs) not obtained.</t>
  </si>
  <si>
    <t>Note 10: Bank Balances Other Than Cash and Cash Equivalents</t>
  </si>
  <si>
    <t>Total Bank Balances</t>
  </si>
  <si>
    <t>Note 11: Other Current Financial Assets</t>
  </si>
  <si>
    <t>Security Deposits</t>
  </si>
  <si>
    <t>Loan to Subsidiaries</t>
  </si>
  <si>
    <t>Less: Provision for Loan to Subsidiaries</t>
  </si>
  <si>
    <t>Net Loan to Subsidiaries</t>
  </si>
  <si>
    <t>Loans to Employees</t>
  </si>
  <si>
    <t>Auditor Note: Loan to subsidiaries INR 5,585.57 lakhs appears non-recoverable based on financial position. Security Deposits of INR 1,008.15 lakhs and Loans to Employees INR 82.75 lakhs — no supporting documents available for verification.</t>
  </si>
  <si>
    <t>Note 12: Other Current Assets</t>
  </si>
  <si>
    <t>Advance to Suppliers</t>
  </si>
  <si>
    <t>Less: Provision for Advance to Suppliers</t>
  </si>
  <si>
    <t>Advances for Land Purchase/Tenancy/Claims/Development Rights</t>
  </si>
  <si>
    <t>Less: Provision for above Advances</t>
  </si>
  <si>
    <t>Net Advance to Suppliers</t>
  </si>
  <si>
    <t>Deferred Rent Income (Straight line)</t>
  </si>
  <si>
    <t>Prepaid Expenses</t>
  </si>
  <si>
    <t>Others</t>
  </si>
  <si>
    <t>Total Other Current Assets</t>
  </si>
  <si>
    <t>Notes: (i) Purpose &amp; recoverability of advances to suppliers and land purchase advances cannot be ascertained. (ii) Major outstanding balances outstanding since 31.03.2011 — barred and funds of corporate debtor blocked. (iii) Strike-off companies (Advance to Suppliers: INR 270.96 lakhs; Advance for land: INR 1,731.50 lakhs) — recovery probability remote.</t>
  </si>
  <si>
    <t>Note 13: Current Tax Assets (Net)</t>
  </si>
  <si>
    <t>Provision for Taxation</t>
  </si>
  <si>
    <t>Less: Tax Paid</t>
  </si>
  <si>
    <t>Total Current Tax Assets (Net)</t>
  </si>
  <si>
    <t>Note: Income tax demand notices totalling INR 5,94,870.07 lakhs received; no supporting documents available for verification.</t>
  </si>
  <si>
    <t>Note 14: Share Capital</t>
  </si>
  <si>
    <t>Authorised Capital</t>
  </si>
  <si>
    <t>1,00,00,00,000 Equity Shares of ₹10/- each</t>
  </si>
  <si>
    <t>Issued, Subscribed and Paid Up</t>
  </si>
  <si>
    <t>47,40,03,986 Equity Shares of ₹10/- each fully paid-up</t>
  </si>
  <si>
    <t>Total Share Capital</t>
  </si>
  <si>
    <t>Shareholders holding more than 5% shares</t>
  </si>
  <si>
    <t>Name of Shareholder</t>
  </si>
  <si>
    <t>% Holding (FY25)</t>
  </si>
  <si>
    <t>% Holding (FY24)</t>
  </si>
  <si>
    <t>Sarang Kumar Wadhawan</t>
  </si>
  <si>
    <t>12.48%</t>
  </si>
  <si>
    <t>Interactive Multimedia Technologies Pvt Ltd</t>
  </si>
  <si>
    <t>6.36%</t>
  </si>
  <si>
    <t>Dinshaw Trapinex Builders Pvt Ltd</t>
  </si>
  <si>
    <t>6.04%</t>
  </si>
  <si>
    <t>Dheeraj Consultancy Pvt Ltd</t>
  </si>
  <si>
    <t>Orbis SICAV - Asia Ex-Japan Equity Fund</t>
  </si>
  <si>
    <t>5.65%</t>
  </si>
  <si>
    <t>Rakesh Kumar Wadhawan</t>
  </si>
  <si>
    <t>5.40%</t>
  </si>
  <si>
    <t>Privilege Distilleries Pvt Ltd</t>
  </si>
  <si>
    <t>5.26%</t>
  </si>
  <si>
    <t>Note: Due to default in payment of CDSL &amp; NSDL Fees, BENPOS with details of promoter and shareholder holdings could not be obtained.</t>
  </si>
  <si>
    <t>Note 15: Other Equity</t>
  </si>
  <si>
    <t>Securities Premium Reserve</t>
  </si>
  <si>
    <t>General Reserves</t>
  </si>
  <si>
    <t>Retained Earnings (Opening Balance)</t>
  </si>
  <si>
    <t>Add: Loss for the Year</t>
  </si>
  <si>
    <t>Retained Earnings (Closing Balance)</t>
  </si>
  <si>
    <t>Total Other Equity</t>
  </si>
  <si>
    <t>Note: Debenture Redemption Reserve (DRR) of INR 22,489.52 lakhs was nullified and transferred to General Reserves on 30 June 2019. Debentures have not been redeemed — this is a violation of Section 71 of Companies Act, 2013.</t>
  </si>
  <si>
    <t>Note 16: Current Borrowings (Term Loans and Debentures)</t>
  </si>
  <si>
    <t>Loans Repayable on Demand - From Banks</t>
  </si>
  <si>
    <t>Loans Repayable on Demand - From COC</t>
  </si>
  <si>
    <t>Term Loans from Scheduled Banks</t>
  </si>
  <si>
    <t>Term Loans from Financial Institutions</t>
  </si>
  <si>
    <t>Total Current Borrowings</t>
  </si>
  <si>
    <t>CIRP commenced 20 Aug 2019. Admitted financial claims from Banks/FIs: INR 7,37,333.10 lakhs (incl. INR 89,851.80 lakhs from home buyers). Government authorities: INR 59,358.86 lakhs. Employees: INR 1,157.97 lakhs. Other creditors: INR 30,548.75 lakhs. Book balances differ as interest/penal charges not fully accounted. IND AS adjustments for unwinding of finance cost not made.</t>
  </si>
  <si>
    <t>Note 17: Trade Payables (Current)</t>
  </si>
  <si>
    <t>Micro, Small and Medium Enterprises (MSME)</t>
  </si>
  <si>
    <t>Other Trade Payables</t>
  </si>
  <si>
    <t>Total Trade Payables</t>
  </si>
  <si>
    <t>Note: Includes INR 1,812.67 lakhs accounted in earlier years but not credited to respective vendor personal accounts — reflected in control accounts under "Other Trade Payables". No overdue principal/interest amounts to MSME vendors. Bifurcation of transactions with strike-off companies could not be identified.</t>
  </si>
  <si>
    <t>Note 18: Other Current Financial Liabilities</t>
  </si>
  <si>
    <t>Interest Accrued - Due but not paid on Loans</t>
  </si>
  <si>
    <t>Unpaid Matured Debentures - Principal</t>
  </si>
  <si>
    <t>Security Deposit Received</t>
  </si>
  <si>
    <t>Due to Employees</t>
  </si>
  <si>
    <t>Total Other Current Financial Liabilities</t>
  </si>
  <si>
    <t>Note: Provisions for Outstanding Expenses of INR 190.07 lakhs not revised — correct position unknown due to lack of information.</t>
  </si>
  <si>
    <t>Note 19: Other Current Liabilities</t>
  </si>
  <si>
    <t>Revenue Received in Advance (customer advances for Land, Units, TDR, FSI etc.)</t>
  </si>
  <si>
    <t>Statutory Dues</t>
  </si>
  <si>
    <t>Other Current Liabilities</t>
  </si>
  <si>
    <t>Total Other Current Liabilities</t>
  </si>
  <si>
    <t>Notes: (i) Cannot confirm whether advances of INR 1,90,052.88 lakhs qualify as deposits under Section 73 of Companies Act 2013. (ii) Advances include rental income since FY 2010-11 of INR 262.47 lakhs not appropriated. (iii) Statutory dues of INR 2,377.59 lakhs include Service Tax &amp; VAT interest from earlier years. (iv) TDS, TCS, PF, ESIC, GST of INR 1,296.08 lakhs outstanding — no payments made during year. (v) Income tax provisions from AY 2010-11 to AY 2019-20: INR 17,417.01 lakhs. (vi) Income Tax demand notices totalling INR 5,94,870.07 lakhs received — could not be verified.</t>
  </si>
  <si>
    <t>Note 20: Current Provisions</t>
  </si>
  <si>
    <t>Gratuity</t>
  </si>
  <si>
    <t>Leave Encashment</t>
  </si>
  <si>
    <t>Total Provisions</t>
  </si>
  <si>
    <t>Note: Actuarial valuation not obtained — provisions based on past estimates from earlier years. No provision made during current year.</t>
  </si>
  <si>
    <t>Note 22: Revenue from Operations</t>
  </si>
  <si>
    <t>Year Ended 31-Mar-2025</t>
  </si>
  <si>
    <t>Year Ended 31-Mar-2024</t>
  </si>
  <si>
    <t>Other Operating Income</t>
  </si>
  <si>
    <t>Lease Rental</t>
  </si>
  <si>
    <t>Sale of Unit</t>
  </si>
  <si>
    <t>Sale of Land</t>
  </si>
  <si>
    <t>Others (Compensation for Land Acquisition)</t>
  </si>
  <si>
    <t>Total Revenue from Operations</t>
  </si>
  <si>
    <t>Note 23: Other Income</t>
  </si>
  <si>
    <t>Interest Received</t>
  </si>
  <si>
    <t>Other Charges of Sale of Unit</t>
  </si>
  <si>
    <t>Miscellaneous Income</t>
  </si>
  <si>
    <t>Total Other Income</t>
  </si>
  <si>
    <t>Note 24: Changes in Inventories of Finished Goods &amp; Work-in-Progress</t>
  </si>
  <si>
    <t>Opening Finished Goods</t>
  </si>
  <si>
    <t>Opening Work-in-Progress</t>
  </si>
  <si>
    <t>Total Opening Inventory</t>
  </si>
  <si>
    <t>Closing Finished Goods</t>
  </si>
  <si>
    <t>Closing Work-in-Progress</t>
  </si>
  <si>
    <t>Total Closing Inventory</t>
  </si>
  <si>
    <t>Net Change (Decrease)/Increase in Inventories</t>
  </si>
  <si>
    <t>Note 25: Employee Benefits Expense</t>
  </si>
  <si>
    <t>Salaries and Incentives</t>
  </si>
  <si>
    <t>Contributions to Provident and Other Funds</t>
  </si>
  <si>
    <t>Staff Welfare Expenses</t>
  </si>
  <si>
    <t>Bonus</t>
  </si>
  <si>
    <t>Total Employee Benefits Expense</t>
  </si>
  <si>
    <t>Note: No actuarial valuer appointed for Employee Benefits valuation for FY 2024-25. PF and ESIC not paid after commencement of CIRP.</t>
  </si>
  <si>
    <t>Note 26: Other Expenses</t>
  </si>
  <si>
    <t>Advertisement and Sales Promotion Expenses</t>
  </si>
  <si>
    <t>Electricity Charges</t>
  </si>
  <si>
    <t>Insurance Charges</t>
  </si>
  <si>
    <t>Interest Waived Off</t>
  </si>
  <si>
    <t>Bank Charges</t>
  </si>
  <si>
    <t>Other Expenses</t>
  </si>
  <si>
    <t>CIRP Expenses</t>
  </si>
  <si>
    <t>Investment Written Off</t>
  </si>
  <si>
    <t>Membership and Subscription</t>
  </si>
  <si>
    <t>Printing and Stationery</t>
  </si>
  <si>
    <t>Security Charges</t>
  </si>
  <si>
    <t>Professional Fees</t>
  </si>
  <si>
    <t>Repairs and Maintenance to Other Assets</t>
  </si>
  <si>
    <t>Postages and Telegram Expenses</t>
  </si>
  <si>
    <t>Property Tax</t>
  </si>
  <si>
    <t>Travelling and Conveyance Expenses</t>
  </si>
  <si>
    <t>Remuneration to Auditors</t>
  </si>
  <si>
    <t>Listing Fees</t>
  </si>
  <si>
    <t>Total Other Expenses</t>
  </si>
  <si>
    <t>Note 27: Exceptional Items (Income)</t>
  </si>
  <si>
    <t>Reversal of Depreciation on Fixed Assets</t>
  </si>
  <si>
    <t>Total Exceptional Items</t>
  </si>
  <si>
    <t>Note 29: Contingent Liabilities (Not Provided For)</t>
  </si>
  <si>
    <t>Claims against Company not acknowledged as debts (suits by parties)</t>
  </si>
  <si>
    <t>Income-tax demands disputed (net of amounts provided)</t>
  </si>
  <si>
    <t>Bank Guarantee - Pollution Control Board (HC Infraacity Pvt Ltd)</t>
  </si>
  <si>
    <t>Financial Guarantee - Guruashish Construction Pvt Ltd (default on bank loans)</t>
  </si>
  <si>
    <t>Financial Guarantee - Privilege Power &amp; Infrastructure Pvt Ltd</t>
  </si>
  <si>
    <t>IDBI Bank corporate guarantee (vendor financing up to INR 5,000 lakhs)</t>
  </si>
  <si>
    <t>MCGM Property Tax claims (accepted by RP upto commencement of CIRP)</t>
  </si>
  <si>
    <t>Note: Company has substantial pending litigations — due to non-availability of adequate information, amounts cannot be quantified. Demands and liabilities will be paid as per Resolution Plan approved by NCLT. MCGM filed total claims of Rs.1,311.20 crores in respect of property tax dues up to March 2025.</t>
  </si>
  <si>
    <t>Note 39: Additional Disclosures — Ratio Analysis (as per Schedule III, Companies Act 2013)</t>
  </si>
  <si>
    <t>Ratio</t>
  </si>
  <si>
    <t>31-03-2025</t>
  </si>
  <si>
    <t>31-03-2024</t>
  </si>
  <si>
    <t>Current Ratio</t>
  </si>
  <si>
    <t>Debt Equity Ratio</t>
  </si>
  <si>
    <t>Debt Service Coverage Ratio</t>
  </si>
  <si>
    <t>Return on Equity Ratio</t>
  </si>
  <si>
    <t>Inventory Turnover Ratio</t>
  </si>
  <si>
    <t>Trade Receivables Turnover Ratio</t>
  </si>
  <si>
    <t>Trade Payables Turnover Ratio</t>
  </si>
  <si>
    <t>Net Capital Turnover Ratio</t>
  </si>
  <si>
    <t>Net Profit Ratio</t>
  </si>
  <si>
    <t>Return on Capital Employed</t>
  </si>
  <si>
    <t>Return on Investment</t>
  </si>
  <si>
    <t>Source: Signed Financial Statements FY 2024-25 — Housing Development and Infrastructure Limited (HDIL) | Auditors: Dayal and Lohia, Chartered Accountants | Date: 8th September 2025</t>
  </si>
  <si>
    <t>JSW STEEL LIMITED</t>
  </si>
  <si>
    <t>Working Capital Management</t>
  </si>
  <si>
    <t>DAYS</t>
  </si>
  <si>
    <t>FY 2024-25</t>
  </si>
  <si>
    <t>FY 2023-24</t>
  </si>
  <si>
    <t>MONTH</t>
  </si>
  <si>
    <t>Revenue from Operations</t>
  </si>
  <si>
    <t>QTY</t>
  </si>
  <si>
    <t>COGS</t>
  </si>
  <si>
    <t>Half-yearly</t>
  </si>
  <si>
    <t xml:space="preserve">  Cash &amp; Cash Equivalents</t>
  </si>
  <si>
    <t>Yearly</t>
  </si>
  <si>
    <t xml:space="preserve">  Trade Payables </t>
  </si>
  <si>
    <t>Days Sales Outstanding (DSO)</t>
  </si>
  <si>
    <t>Days Payable Outstanding (DPO)</t>
  </si>
  <si>
    <t>Inventory Turnover (Days)</t>
  </si>
  <si>
    <t>Working Capital working Note no.1</t>
  </si>
  <si>
    <t>Calculate Working Capital</t>
  </si>
  <si>
    <t>Working Capital = Current Assets – Current Liabilities</t>
  </si>
  <si>
    <t>only consider the cash trade receivables and trde payables</t>
  </si>
  <si>
    <t>COGS=Changes in Inventory+Employee Benefits+Other Expenses</t>
  </si>
  <si>
    <t>Expense Head</t>
  </si>
  <si>
    <t>Year 1</t>
  </si>
  <si>
    <t>Year 2</t>
  </si>
  <si>
    <t>Cost of Materials Consumed</t>
  </si>
  <si>
    <t>Purchase of Stock-in-Trade</t>
  </si>
  <si>
    <t>Operating &amp; Direct Expenses</t>
  </si>
  <si>
    <t>Changes in Inventories</t>
  </si>
  <si>
    <t>Employee Benefit Expenses</t>
  </si>
  <si>
    <t>Finance Costs</t>
  </si>
  <si>
    <t>Depreciation &amp; Amortisation</t>
  </si>
  <si>
    <t>SOURCE : money control.com for this calculation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</si>
</sst>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000"/>
  </numFmts>
  <fonts count="55" x14ac:knownFonts="1">
    <font>
      <sz val="11"/>
      <color theme="1"/>
      <name val="Calibri"/>
      <family val="2"/>
      <charset val="1"/>
    </font>
    <font>
      <sz val="11"/>
      <color theme="1"/>
      <name val="Calibri"/>
      <family val="2"/>
    </font>
    <font>
      <sz val="10"/>
      <name val="Arial"/>
      <family val="2"/>
    </font>
    <font>
      <b/>
      <sz val="13"/>
      <color rgb="FFFFFFFF"/>
      <name val="Arial"/>
      <family val="2"/>
    </font>
    <font>
      <b/>
      <sz val="10"/>
      <color rgb="FFFFFFFF"/>
      <name val="Arial"/>
      <family val="2"/>
    </font>
    <font>
      <b/>
      <sz val="10"/>
      <color rgb="FF1F3864"/>
      <name val="Arial"/>
      <family val="2"/>
    </font>
    <font>
      <sz val="9"/>
      <color rgb="FF000000"/>
      <name val="Arial"/>
      <family val="2"/>
    </font>
    <font>
      <sz val="10"/>
      <color rgb="FF000000"/>
      <name val="Arial"/>
      <family val="2"/>
    </font>
    <font>
      <sz val="10"/>
      <color rgb="FF0000FF"/>
      <name val="Arial"/>
      <family val="2"/>
    </font>
    <font>
      <b/>
      <sz val="11"/>
      <color rgb="FF000000"/>
      <name val="Arial"/>
      <family val="2"/>
    </font>
    <font>
      <sz val="9"/>
      <color rgb="FF7F0000"/>
      <name val="Arial"/>
      <family val="2"/>
    </font>
    <font>
      <b/>
      <sz val="10"/>
      <color rgb="FF000000"/>
      <name val="Arial"/>
      <family val="2"/>
    </font>
    <font>
      <b/>
      <sz val="10"/>
      <color rgb="FFCC0000"/>
      <name val="Arial"/>
      <family val="2"/>
    </font>
    <font>
      <b/>
      <sz val="11"/>
      <color rgb="FFCC0000"/>
      <name val="Arial"/>
      <family val="2"/>
    </font>
    <font>
      <b/>
      <sz val="11"/>
      <color theme="1"/>
      <name val="Calibri"/>
      <family val="2"/>
    </font>
    <font>
      <u/>
      <sz val="11"/>
      <color theme="10"/>
      <name val="Calibri"/>
      <family val="2"/>
      <charset val="1"/>
    </font>
    <font>
      <sz val="16"/>
      <color theme="0"/>
      <name val="Arial Black"/>
      <family val="2"/>
    </font>
    <font>
      <i/>
      <sz val="11"/>
      <color theme="0" tint="-0.34998626667073579"/>
      <name val="Calibri"/>
      <family val="2"/>
    </font>
    <font>
      <sz val="11"/>
      <color rgb="FF3333FF"/>
      <name val="Calibri"/>
      <family val="2"/>
    </font>
    <font>
      <b/>
      <sz val="11"/>
      <color rgb="FF3333FF"/>
      <name val="Calibri"/>
      <family val="2"/>
    </font>
    <font>
      <sz val="11"/>
      <color rgb="FF3333FF"/>
      <name val="Segoe UI"/>
      <family val="2"/>
    </font>
    <font>
      <b/>
      <sz val="12"/>
      <color theme="1"/>
      <name val="Calibri"/>
      <family val="2"/>
    </font>
    <font>
      <sz val="11"/>
      <color theme="0"/>
      <name val="Calibri"/>
      <family val="2"/>
      <charset val="1"/>
    </font>
    <font>
      <b/>
      <sz val="11"/>
      <color theme="1"/>
      <name val="Calibri"/>
      <family val="2"/>
      <scheme val="minor"/>
    </font>
    <font>
      <sz val="11"/>
      <color rgb="FF3333FF"/>
      <name val="Calibri"/>
      <family val="2"/>
      <charset val="1"/>
    </font>
    <font>
      <sz val="11"/>
      <color theme="0" tint="-0.14999847407452621"/>
      <name val="Calibri"/>
      <family val="2"/>
      <scheme val="minor"/>
    </font>
    <font>
      <i/>
      <sz val="11"/>
      <color theme="1"/>
      <name val="Calibri"/>
      <family val="2"/>
      <scheme val="minor"/>
    </font>
    <font>
      <i/>
      <sz val="11"/>
      <color theme="0" tint="-0.34998626667073579"/>
      <name val="Calibri"/>
      <family val="2"/>
      <scheme val="minor"/>
    </font>
    <font>
      <vertAlign val="subscript"/>
      <sz val="16"/>
      <color theme="1"/>
      <name val="Calibri"/>
      <family val="2"/>
      <scheme val="minor"/>
    </font>
    <font>
      <b/>
      <sz val="11"/>
      <color theme="0" tint="-0.34998626667073579"/>
      <name val="Calibri"/>
      <family val="2"/>
    </font>
    <font>
      <sz val="11"/>
      <color theme="0" tint="-0.34998626667073579"/>
      <name val="Calibri"/>
      <family val="2"/>
      <scheme val="minor"/>
    </font>
    <font>
      <i/>
      <sz val="10"/>
      <color theme="0" tint="-0.34998626667073579"/>
      <name val="Calibri"/>
      <family val="2"/>
    </font>
    <font>
      <sz val="11"/>
      <color rgb="FF0E09D1"/>
      <name val="Calibri"/>
      <family val="2"/>
      <scheme val="minor"/>
    </font>
    <font>
      <sz val="10"/>
      <color rgb="FF3333FF"/>
      <name val="Arial"/>
      <family val="2"/>
    </font>
    <font>
      <sz val="11"/>
      <color theme="4" tint="-0.249977111117893"/>
      <name val="Calibri"/>
      <family val="2"/>
      <charset val="1"/>
    </font>
    <font>
      <sz val="11"/>
      <name val="Calibri"/>
      <family val="2"/>
      <charset val="1"/>
    </font>
    <font>
      <b/>
      <sz val="11"/>
      <color rgb="FFFFFFFF"/>
      <name val="Calibri"/>
      <family val="2"/>
    </font>
    <font>
      <b/>
      <sz val="10"/>
      <color rgb="FF1F3864"/>
      <name val="Calibri"/>
      <family val="2"/>
    </font>
    <font>
      <b/>
      <sz val="10"/>
      <color rgb="FFFFFFFF"/>
      <name val="Calibri"/>
      <family val="2"/>
    </font>
    <font>
      <sz val="10"/>
      <color rgb="FF000000"/>
      <name val="Calibri"/>
      <family val="2"/>
    </font>
    <font>
      <sz val="10"/>
      <color rgb="FF3333FF"/>
      <name val="Calibri"/>
      <family val="2"/>
    </font>
    <font>
      <b/>
      <sz val="10"/>
      <color rgb="FF000000"/>
      <name val="Calibri"/>
      <family val="2"/>
    </font>
    <font>
      <i/>
      <sz val="9"/>
      <color rgb="FF595959"/>
      <name val="Calibri"/>
      <family val="2"/>
    </font>
    <font>
      <b/>
      <sz val="12"/>
      <color rgb="FFFFFFFF"/>
      <name val="Calibri"/>
      <family val="2"/>
    </font>
    <font>
      <b/>
      <sz val="9"/>
      <color rgb="FFFFFFFF"/>
      <name val="Calibri"/>
      <family val="2"/>
    </font>
    <font>
      <sz val="9"/>
      <color rgb="FF000000"/>
      <name val="Calibri"/>
      <family val="2"/>
    </font>
    <font>
      <sz val="9"/>
      <color rgb="FF3333FF"/>
      <name val="Calibri"/>
      <family val="2"/>
    </font>
    <font>
      <b/>
      <sz val="9"/>
      <color rgb="FF1F3864"/>
      <name val="Calibri"/>
      <family val="2"/>
    </font>
    <font>
      <i/>
      <sz val="8"/>
      <color rgb="FF595959"/>
      <name val="Calibri"/>
      <family val="2"/>
    </font>
    <font>
      <sz val="9"/>
      <name val="Calibri"/>
      <family val="2"/>
    </font>
    <font>
      <i/>
      <sz val="11"/>
      <color theme="1"/>
      <name val="Calibri"/>
      <family val="2"/>
    </font>
    <font>
      <b/>
      <sz val="12"/>
      <color theme="0"/>
      <name val="Calibri"/>
      <family val="2"/>
    </font>
    <font>
      <b/>
      <sz val="11"/>
      <color rgb="FFFFFFFF"/>
      <name val="Arial"/>
      <family val="2"/>
    </font>
    <font>
      <i/>
      <sz val="9"/>
      <color theme="1"/>
      <name val="Calibri"/>
      <family val="2"/>
    </font>
    <font>
      <b/>
      <sz val="11"/>
      <color theme="1"/>
      <name val="Calibri"/>
      <family val="2"/>
      <charset val="1"/>
    </font>
  </fonts>
  <fills count="2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D6E4F0"/>
        <bgColor rgb="FFBDD7EE"/>
      </patternFill>
    </fill>
    <fill>
      <patternFill patternType="solid">
        <fgColor rgb="FFFFFFFF"/>
        <bgColor rgb="FFF2F7FB"/>
      </patternFill>
    </fill>
    <fill>
      <patternFill patternType="solid">
        <fgColor rgb="FFBDD7EE"/>
        <bgColor rgb="FFD6E4F0"/>
      </patternFill>
    </fill>
    <fill>
      <patternFill patternType="solid">
        <fgColor rgb="FFFFCCCC"/>
        <bgColor rgb="FFD6E4F0"/>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rgb="FF1F3864"/>
      </patternFill>
    </fill>
    <fill>
      <patternFill patternType="solid">
        <fgColor rgb="FFD6E4F0"/>
      </patternFill>
    </fill>
    <fill>
      <patternFill patternType="solid">
        <fgColor rgb="FF2E75B6"/>
      </patternFill>
    </fill>
    <fill>
      <patternFill patternType="solid">
        <fgColor rgb="FFFFFFFF"/>
      </patternFill>
    </fill>
    <fill>
      <patternFill patternType="solid">
        <fgColor rgb="FFF2F2F2"/>
      </patternFill>
    </fill>
    <fill>
      <patternFill patternType="solid">
        <fgColor rgb="FFBDD7EE"/>
      </patternFill>
    </fill>
    <fill>
      <patternFill patternType="solid">
        <fgColor rgb="FFFFF2CC"/>
      </patternFill>
    </fill>
    <fill>
      <patternFill patternType="solid">
        <fgColor theme="4" tint="-0.249977111117893"/>
        <bgColor indexed="64"/>
      </patternFill>
    </fill>
    <fill>
      <patternFill patternType="solid">
        <fgColor rgb="FF2F5496"/>
        <bgColor rgb="FF395F8A"/>
      </patternFill>
    </fill>
  </fills>
  <borders count="12">
    <border>
      <left/>
      <right/>
      <top/>
      <bottom/>
      <diagonal/>
    </border>
    <border>
      <left style="medium">
        <color rgb="FF1F3864"/>
      </left>
      <right/>
      <top style="medium">
        <color rgb="FF1F3864"/>
      </top>
      <bottom style="medium">
        <color rgb="FF1F3864"/>
      </bottom>
      <diagonal/>
    </border>
    <border>
      <left style="thin">
        <color rgb="FFB8B8B8"/>
      </left>
      <right style="thin">
        <color rgb="FFB8B8B8"/>
      </right>
      <top style="thin">
        <color rgb="FFB8B8B8"/>
      </top>
      <bottom style="thin">
        <color rgb="FFB8B8B8"/>
      </bottom>
      <diagonal/>
    </border>
    <border>
      <left style="thin">
        <color rgb="FFB8B8B8"/>
      </left>
      <right/>
      <top style="thin">
        <color rgb="FFB8B8B8"/>
      </top>
      <bottom style="thin">
        <color rgb="FFB8B8B8"/>
      </bottom>
      <diagonal/>
    </border>
    <border>
      <left/>
      <right/>
      <top/>
      <bottom style="hair">
        <color auto="1"/>
      </bottom>
      <diagonal/>
    </border>
    <border>
      <left/>
      <right/>
      <top style="thin">
        <color auto="1"/>
      </top>
      <bottom/>
      <diagonal/>
    </border>
    <border>
      <left/>
      <right/>
      <top/>
      <bottom style="thin">
        <color auto="1"/>
      </bottom>
      <diagonal/>
    </border>
    <border>
      <left/>
      <right/>
      <top style="dotted">
        <color auto="1"/>
      </top>
      <bottom/>
      <diagonal/>
    </border>
    <border>
      <left/>
      <right/>
      <top style="thin">
        <color rgb="FFB8B8B8"/>
      </top>
      <bottom style="thin">
        <color rgb="FFB8B8B8"/>
      </bottom>
      <diagonal/>
    </border>
    <border>
      <left/>
      <right style="thin">
        <color rgb="FFB8B8B8"/>
      </right>
      <top style="thin">
        <color rgb="FFB8B8B8"/>
      </top>
      <bottom style="thin">
        <color rgb="FFB8B8B8"/>
      </bottom>
      <diagonal/>
    </border>
    <border>
      <left/>
      <right/>
      <top style="medium">
        <color rgb="FF1F3864"/>
      </top>
      <bottom style="medium">
        <color rgb="FF1F3864"/>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9" fontId="2" fillId="0" borderId="0"/>
    <xf numFmtId="0" fontId="15" fillId="0" borderId="0"/>
  </cellStyleXfs>
  <cellXfs count="142">
    <xf numFmtId="0" fontId="0" fillId="0" borderId="0" xfId="0"/>
    <xf numFmtId="0" fontId="4" fillId="3"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164" fontId="8" fillId="5" borderId="2" xfId="0" applyNumberFormat="1" applyFont="1" applyFill="1" applyBorder="1" applyAlignment="1">
      <alignment horizontal="right" vertical="center"/>
    </xf>
    <xf numFmtId="164" fontId="9" fillId="6" borderId="2" xfId="0" applyNumberFormat="1" applyFont="1" applyFill="1" applyBorder="1" applyAlignment="1">
      <alignment horizontal="right" vertical="center"/>
    </xf>
    <xf numFmtId="0" fontId="6" fillId="7" borderId="2" xfId="0" applyFont="1" applyFill="1" applyBorder="1" applyAlignment="1">
      <alignment horizontal="center" vertical="center" wrapText="1"/>
    </xf>
    <xf numFmtId="0" fontId="7" fillId="7" borderId="2" xfId="0" applyFont="1" applyFill="1" applyBorder="1" applyAlignment="1">
      <alignment horizontal="left" vertical="center" wrapText="1"/>
    </xf>
    <xf numFmtId="164" fontId="8" fillId="7" borderId="2" xfId="0" applyNumberFormat="1" applyFont="1" applyFill="1" applyBorder="1" applyAlignment="1">
      <alignment horizontal="right" vertical="center"/>
    </xf>
    <xf numFmtId="164" fontId="7" fillId="5" borderId="2" xfId="0" applyNumberFormat="1" applyFont="1" applyFill="1" applyBorder="1" applyAlignment="1">
      <alignment horizontal="right" vertical="center"/>
    </xf>
    <xf numFmtId="164" fontId="11" fillId="6" borderId="2" xfId="0" applyNumberFormat="1" applyFont="1" applyFill="1" applyBorder="1" applyAlignment="1">
      <alignment horizontal="right" vertical="center"/>
    </xf>
    <xf numFmtId="0" fontId="11" fillId="7" borderId="2" xfId="0" applyFont="1" applyFill="1" applyBorder="1" applyAlignment="1">
      <alignment horizontal="left" vertical="center" wrapText="1"/>
    </xf>
    <xf numFmtId="164" fontId="11" fillId="7" borderId="2" xfId="0" applyNumberFormat="1" applyFont="1" applyFill="1" applyBorder="1" applyAlignment="1">
      <alignment horizontal="right" vertical="center"/>
    </xf>
    <xf numFmtId="164" fontId="12" fillId="7" borderId="2" xfId="0" applyNumberFormat="1" applyFont="1" applyFill="1" applyBorder="1" applyAlignment="1">
      <alignment horizontal="right" vertical="center"/>
    </xf>
    <xf numFmtId="164" fontId="13" fillId="7" borderId="2" xfId="0" applyNumberFormat="1" applyFont="1" applyFill="1" applyBorder="1" applyAlignment="1">
      <alignment horizontal="right" vertical="center"/>
    </xf>
    <xf numFmtId="0" fontId="6" fillId="4"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164" fontId="11" fillId="4" borderId="2" xfId="0" applyNumberFormat="1" applyFont="1" applyFill="1" applyBorder="1" applyAlignment="1">
      <alignment horizontal="right" vertical="center"/>
    </xf>
    <xf numFmtId="0" fontId="6" fillId="6" borderId="2" xfId="0" applyFont="1" applyFill="1" applyBorder="1" applyAlignment="1">
      <alignment horizontal="center" vertical="center" wrapText="1"/>
    </xf>
    <xf numFmtId="0" fontId="11" fillId="6" borderId="2" xfId="0" applyFont="1" applyFill="1" applyBorder="1" applyAlignment="1">
      <alignment horizontal="left" vertical="center" wrapText="1"/>
    </xf>
    <xf numFmtId="0" fontId="14" fillId="0" borderId="0" xfId="0" applyFont="1"/>
    <xf numFmtId="0" fontId="14" fillId="0" borderId="4" xfId="0" applyFont="1" applyBorder="1"/>
    <xf numFmtId="0" fontId="0" fillId="0" borderId="4" xfId="0" applyBorder="1"/>
    <xf numFmtId="0" fontId="0" fillId="0" borderId="5" xfId="0" applyBorder="1"/>
    <xf numFmtId="0" fontId="0" fillId="0" borderId="5" xfId="0" applyBorder="1" applyAlignment="1">
      <alignment horizontal="right"/>
    </xf>
    <xf numFmtId="0" fontId="0" fillId="0" borderId="6" xfId="0" applyBorder="1"/>
    <xf numFmtId="0" fontId="0" fillId="0" borderId="6" xfId="0" applyBorder="1" applyAlignment="1">
      <alignment horizontal="right"/>
    </xf>
    <xf numFmtId="10" fontId="0" fillId="0" borderId="0" xfId="1" applyNumberFormat="1" applyFont="1"/>
    <xf numFmtId="0" fontId="18" fillId="0" borderId="5" xfId="0" applyFont="1" applyBorder="1" applyAlignment="1">
      <alignment horizontal="center"/>
    </xf>
    <xf numFmtId="4" fontId="0" fillId="0" borderId="0" xfId="0" applyNumberFormat="1"/>
    <xf numFmtId="10" fontId="18" fillId="0" borderId="0" xfId="0" applyNumberFormat="1" applyFont="1"/>
    <xf numFmtId="10" fontId="0" fillId="8" borderId="0" xfId="1" applyNumberFormat="1" applyFont="1" applyFill="1"/>
    <xf numFmtId="10" fontId="0" fillId="0" borderId="0" xfId="0" applyNumberFormat="1"/>
    <xf numFmtId="0" fontId="18" fillId="0" borderId="0" xfId="0" applyFont="1" applyAlignment="1">
      <alignment horizontal="center"/>
    </xf>
    <xf numFmtId="10" fontId="18" fillId="0" borderId="0" xfId="0" applyNumberFormat="1" applyFont="1" applyAlignment="1">
      <alignment horizontal="center"/>
    </xf>
    <xf numFmtId="2" fontId="18" fillId="0" borderId="0" xfId="0" applyNumberFormat="1" applyFont="1"/>
    <xf numFmtId="4" fontId="0" fillId="0" borderId="5" xfId="0" applyNumberFormat="1" applyBorder="1"/>
    <xf numFmtId="10" fontId="18" fillId="0" borderId="5" xfId="0" applyNumberFormat="1" applyFont="1" applyBorder="1" applyAlignment="1">
      <alignment horizontal="center"/>
    </xf>
    <xf numFmtId="10" fontId="0" fillId="8" borderId="5" xfId="1" applyNumberFormat="1" applyFont="1" applyFill="1" applyBorder="1"/>
    <xf numFmtId="2" fontId="20" fillId="9" borderId="5" xfId="0" applyNumberFormat="1" applyFont="1" applyFill="1" applyBorder="1" applyAlignment="1">
      <alignment vertical="center" wrapText="1"/>
    </xf>
    <xf numFmtId="0" fontId="0" fillId="10" borderId="0" xfId="0" applyFill="1"/>
    <xf numFmtId="0" fontId="14" fillId="11" borderId="0" xfId="0" applyFont="1" applyFill="1"/>
    <xf numFmtId="10" fontId="14" fillId="11" borderId="0" xfId="0" applyNumberFormat="1" applyFont="1" applyFill="1"/>
    <xf numFmtId="0" fontId="22" fillId="10" borderId="0" xfId="0" applyFont="1" applyFill="1" applyAlignment="1">
      <alignment horizontal="center"/>
    </xf>
    <xf numFmtId="0" fontId="22" fillId="12" borderId="0" xfId="0" applyFont="1" applyFill="1"/>
    <xf numFmtId="15" fontId="0" fillId="0" borderId="0" xfId="0" applyNumberFormat="1"/>
    <xf numFmtId="0" fontId="24" fillId="0" borderId="0" xfId="0" applyFont="1" applyAlignment="1">
      <alignment vertical="center" wrapText="1"/>
    </xf>
    <xf numFmtId="0" fontId="0" fillId="13" borderId="0" xfId="0" applyFill="1"/>
    <xf numFmtId="10" fontId="0" fillId="13" borderId="0" xfId="0" applyNumberFormat="1" applyFill="1"/>
    <xf numFmtId="10" fontId="0" fillId="13" borderId="0" xfId="0" applyNumberFormat="1" applyFill="1" applyAlignment="1">
      <alignment horizontal="right"/>
    </xf>
    <xf numFmtId="2" fontId="0" fillId="0" borderId="0" xfId="0" applyNumberFormat="1"/>
    <xf numFmtId="0" fontId="0" fillId="8" borderId="0" xfId="0" applyFill="1"/>
    <xf numFmtId="2" fontId="0" fillId="8" borderId="0" xfId="0" applyNumberFormat="1" applyFill="1"/>
    <xf numFmtId="0" fontId="25" fillId="0" borderId="0" xfId="0" applyFont="1"/>
    <xf numFmtId="3" fontId="0" fillId="0" borderId="0" xfId="0" applyNumberFormat="1"/>
    <xf numFmtId="10" fontId="0" fillId="8" borderId="0" xfId="0" applyNumberFormat="1" applyFill="1"/>
    <xf numFmtId="0" fontId="15" fillId="11" borderId="0" xfId="2" applyFill="1"/>
    <xf numFmtId="0" fontId="26" fillId="11" borderId="0" xfId="0" applyFont="1" applyFill="1"/>
    <xf numFmtId="0" fontId="27" fillId="14" borderId="0" xfId="0" applyFont="1" applyFill="1"/>
    <xf numFmtId="165" fontId="0" fillId="0" borderId="0" xfId="0" applyNumberFormat="1"/>
    <xf numFmtId="0" fontId="14" fillId="0" borderId="6" xfId="0" applyFont="1" applyBorder="1"/>
    <xf numFmtId="10" fontId="2" fillId="0" borderId="0" xfId="1" applyNumberFormat="1"/>
    <xf numFmtId="0" fontId="0" fillId="0" borderId="7" xfId="0" applyBorder="1"/>
    <xf numFmtId="10" fontId="2" fillId="0" borderId="7" xfId="1" applyNumberFormat="1" applyBorder="1"/>
    <xf numFmtId="0" fontId="29" fillId="12" borderId="0" xfId="0" applyFont="1" applyFill="1"/>
    <xf numFmtId="0" fontId="30" fillId="12" borderId="0" xfId="0" applyFont="1" applyFill="1"/>
    <xf numFmtId="0" fontId="31" fillId="0" borderId="0" xfId="0" applyFont="1"/>
    <xf numFmtId="2" fontId="0" fillId="8" borderId="0" xfId="0" applyNumberFormat="1" applyFill="1" applyAlignment="1">
      <alignment horizontal="left"/>
    </xf>
    <xf numFmtId="10" fontId="28" fillId="8" borderId="0" xfId="0" applyNumberFormat="1" applyFont="1" applyFill="1" applyAlignment="1">
      <alignment horizontal="left"/>
    </xf>
    <xf numFmtId="10" fontId="32" fillId="8" borderId="0" xfId="0" applyNumberFormat="1" applyFont="1" applyFill="1" applyAlignment="1">
      <alignment horizontal="left"/>
    </xf>
    <xf numFmtId="0" fontId="17" fillId="0" borderId="0" xfId="0" applyFont="1"/>
    <xf numFmtId="164" fontId="33" fillId="5" borderId="2" xfId="0" applyNumberFormat="1" applyFont="1" applyFill="1" applyBorder="1" applyAlignment="1">
      <alignment horizontal="right" vertical="center"/>
    </xf>
    <xf numFmtId="0" fontId="0" fillId="8" borderId="0" xfId="0" applyFill="1" applyAlignment="1">
      <alignment horizontal="right"/>
    </xf>
    <xf numFmtId="2" fontId="24" fillId="0" borderId="0" xfId="0" applyNumberFormat="1" applyFont="1" applyAlignment="1">
      <alignment vertical="center" wrapText="1"/>
    </xf>
    <xf numFmtId="10" fontId="2" fillId="13" borderId="0" xfId="1" applyNumberFormat="1" applyFill="1"/>
    <xf numFmtId="0" fontId="34" fillId="15" borderId="0" xfId="0" applyFont="1" applyFill="1"/>
    <xf numFmtId="0" fontId="24" fillId="0" borderId="0" xfId="0" applyFont="1"/>
    <xf numFmtId="2" fontId="35" fillId="16" borderId="0" xfId="0" applyNumberFormat="1" applyFont="1" applyFill="1"/>
    <xf numFmtId="0" fontId="16" fillId="12" borderId="0" xfId="0" applyFont="1" applyFill="1" applyAlignment="1">
      <alignment horizontal="center"/>
    </xf>
    <xf numFmtId="0" fontId="0" fillId="19" borderId="0" xfId="0" applyFill="1"/>
    <xf numFmtId="0" fontId="0" fillId="20" borderId="0" xfId="0" applyFill="1"/>
    <xf numFmtId="0" fontId="38" fillId="20" borderId="0" xfId="0" applyFont="1" applyFill="1" applyAlignment="1">
      <alignment horizontal="center" vertical="center" wrapText="1"/>
    </xf>
    <xf numFmtId="0" fontId="0" fillId="21" borderId="0" xfId="0" applyFill="1"/>
    <xf numFmtId="0" fontId="39" fillId="21" borderId="0" xfId="0" applyFont="1" applyFill="1" applyAlignment="1">
      <alignment horizontal="left" vertical="center"/>
    </xf>
    <xf numFmtId="164" fontId="40" fillId="21" borderId="0" xfId="0" applyNumberFormat="1" applyFont="1" applyFill="1" applyAlignment="1">
      <alignment horizontal="right" vertical="center"/>
    </xf>
    <xf numFmtId="0" fontId="0" fillId="22" borderId="0" xfId="0" applyFill="1"/>
    <xf numFmtId="0" fontId="41" fillId="22" borderId="0" xfId="0" applyFont="1" applyFill="1" applyAlignment="1">
      <alignment horizontal="left" vertical="center"/>
    </xf>
    <xf numFmtId="0" fontId="0" fillId="23" borderId="0" xfId="0" applyFill="1"/>
    <xf numFmtId="0" fontId="37" fillId="23" borderId="0" xfId="0" applyFont="1" applyFill="1" applyAlignment="1">
      <alignment horizontal="left" vertical="center"/>
    </xf>
    <xf numFmtId="164" fontId="37" fillId="23" borderId="0" xfId="0" applyNumberFormat="1" applyFont="1" applyFill="1" applyAlignment="1">
      <alignment horizontal="right" vertical="center"/>
    </xf>
    <xf numFmtId="0" fontId="0" fillId="24" borderId="0" xfId="0" applyFill="1"/>
    <xf numFmtId="0" fontId="44" fillId="20" borderId="0" xfId="0" applyFont="1" applyFill="1" applyAlignment="1">
      <alignment horizontal="center" vertical="center" wrapText="1"/>
    </xf>
    <xf numFmtId="0" fontId="45" fillId="21" borderId="0" xfId="0" applyFont="1" applyFill="1" applyAlignment="1">
      <alignment horizontal="left" vertical="center" wrapText="1"/>
    </xf>
    <xf numFmtId="164" fontId="46" fillId="21" borderId="0" xfId="0" applyNumberFormat="1" applyFont="1" applyFill="1" applyAlignment="1">
      <alignment horizontal="right" vertical="center"/>
    </xf>
    <xf numFmtId="0" fontId="47" fillId="23" borderId="0" xfId="0" applyFont="1" applyFill="1" applyAlignment="1">
      <alignment horizontal="left" vertical="center" wrapText="1"/>
    </xf>
    <xf numFmtId="164" fontId="47" fillId="23" borderId="0" xfId="0" applyNumberFormat="1" applyFont="1" applyFill="1" applyAlignment="1">
      <alignment horizontal="right" vertical="center"/>
    </xf>
    <xf numFmtId="0" fontId="49" fillId="21" borderId="0" xfId="0" applyFont="1" applyFill="1" applyAlignment="1">
      <alignment horizontal="left" vertical="center"/>
    </xf>
    <xf numFmtId="0" fontId="49" fillId="0" borderId="0" xfId="0" applyFont="1" applyAlignment="1">
      <alignment horizontal="center"/>
    </xf>
    <xf numFmtId="166" fontId="49" fillId="0" borderId="0" xfId="0" applyNumberFormat="1" applyFont="1" applyAlignment="1">
      <alignment horizontal="right"/>
    </xf>
    <xf numFmtId="0" fontId="0" fillId="0" borderId="0" xfId="0"/>
    <xf numFmtId="0" fontId="50" fillId="15" borderId="0" xfId="0" applyFont="1" applyFill="1"/>
    <xf numFmtId="0" fontId="0" fillId="15" borderId="0" xfId="0" applyFill="1"/>
    <xf numFmtId="0" fontId="51" fillId="25" borderId="0" xfId="0" applyFont="1" applyFill="1"/>
    <xf numFmtId="0" fontId="52" fillId="26" borderId="11" xfId="0" applyFont="1" applyFill="1" applyBorder="1" applyAlignment="1">
      <alignment horizontal="center" vertical="center"/>
    </xf>
    <xf numFmtId="0" fontId="11" fillId="0" borderId="0" xfId="0" applyFont="1" applyAlignment="1">
      <alignment horizontal="left" vertical="center"/>
    </xf>
    <xf numFmtId="2" fontId="1" fillId="0" borderId="0" xfId="0" applyNumberFormat="1" applyFont="1"/>
    <xf numFmtId="0" fontId="53" fillId="0" borderId="0" xfId="0" applyFont="1"/>
    <xf numFmtId="0" fontId="50" fillId="0" borderId="0" xfId="0" applyFont="1"/>
    <xf numFmtId="0" fontId="54"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10" fillId="7" borderId="0" xfId="0" applyFont="1" applyFill="1" applyAlignment="1">
      <alignment horizontal="left" vertical="center" wrapText="1"/>
    </xf>
    <xf numFmtId="0" fontId="0" fillId="0" borderId="0" xfId="0"/>
    <xf numFmtId="0" fontId="5" fillId="4" borderId="3" xfId="0" applyFont="1" applyFill="1" applyBorder="1" applyAlignment="1">
      <alignment horizontal="left" vertical="center" wrapText="1"/>
    </xf>
    <xf numFmtId="0" fontId="0" fillId="0" borderId="8" xfId="0" applyBorder="1"/>
    <xf numFmtId="0" fontId="3" fillId="2" borderId="1" xfId="0" applyFont="1" applyFill="1" applyBorder="1" applyAlignment="1">
      <alignment horizontal="center" vertical="center" wrapText="1"/>
    </xf>
    <xf numFmtId="0" fontId="0" fillId="0" borderId="10" xfId="0" applyBorder="1"/>
    <xf numFmtId="0" fontId="9" fillId="6" borderId="2" xfId="0" applyFont="1" applyFill="1" applyBorder="1" applyAlignment="1">
      <alignment horizontal="left" vertical="center" wrapText="1"/>
    </xf>
    <xf numFmtId="0" fontId="0" fillId="0" borderId="9" xfId="0" applyBorder="1"/>
    <xf numFmtId="0" fontId="9" fillId="6" borderId="3" xfId="0" applyFont="1" applyFill="1" applyBorder="1" applyAlignment="1">
      <alignment horizontal="left" vertical="center" wrapText="1"/>
    </xf>
    <xf numFmtId="0" fontId="4" fillId="3" borderId="0" xfId="0" applyFont="1" applyFill="1" applyAlignment="1">
      <alignment horizontal="center" vertical="center" wrapText="1"/>
    </xf>
    <xf numFmtId="0" fontId="11" fillId="7" borderId="3"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42" fillId="21" borderId="0" xfId="0" applyFont="1" applyFill="1" applyAlignment="1">
      <alignment horizontal="left" vertical="center"/>
    </xf>
    <xf numFmtId="0" fontId="37" fillId="19" borderId="0" xfId="0" applyFont="1" applyFill="1" applyAlignment="1">
      <alignment horizontal="left" vertical="center"/>
    </xf>
    <xf numFmtId="0" fontId="42" fillId="24" borderId="0" xfId="0" applyFont="1" applyFill="1" applyAlignment="1">
      <alignment horizontal="left" vertical="top" wrapText="1"/>
    </xf>
    <xf numFmtId="0" fontId="36" fillId="18" borderId="0" xfId="0" applyFont="1" applyFill="1" applyAlignment="1">
      <alignment horizontal="center" vertical="center" wrapText="1"/>
    </xf>
    <xf numFmtId="0" fontId="0" fillId="17" borderId="0" xfId="0" applyFill="1" applyAlignment="1">
      <alignment horizontal="center"/>
    </xf>
    <xf numFmtId="0" fontId="16" fillId="12" borderId="0" xfId="0" applyFont="1" applyFill="1" applyAlignment="1">
      <alignment horizontal="center"/>
    </xf>
    <xf numFmtId="0" fontId="0" fillId="0" borderId="0" xfId="0" applyAlignment="1">
      <alignment horizontal="center"/>
    </xf>
    <xf numFmtId="0" fontId="23" fillId="0" borderId="0" xfId="0" applyFont="1" applyAlignment="1">
      <alignment horizontal="center"/>
    </xf>
    <xf numFmtId="0" fontId="17" fillId="0" borderId="0" xfId="0" applyFont="1" applyAlignment="1">
      <alignment horizontal="left"/>
    </xf>
    <xf numFmtId="0" fontId="22" fillId="12" borderId="0" xfId="0" applyFont="1" applyFill="1" applyAlignment="1">
      <alignment horizontal="center"/>
    </xf>
    <xf numFmtId="0" fontId="19" fillId="0" borderId="5" xfId="0" applyFont="1" applyBorder="1" applyAlignment="1">
      <alignment horizontal="center"/>
    </xf>
    <xf numFmtId="0" fontId="0" fillId="0" borderId="5" xfId="0" applyBorder="1"/>
    <xf numFmtId="0" fontId="21" fillId="0" borderId="6" xfId="0" applyFont="1" applyBorder="1" applyAlignment="1">
      <alignment horizontal="center"/>
    </xf>
    <xf numFmtId="0" fontId="0" fillId="0" borderId="6" xfId="0" applyBorder="1"/>
    <xf numFmtId="0" fontId="48" fillId="0" borderId="0" xfId="0" applyFont="1" applyAlignment="1">
      <alignment horizontal="left" vertical="center"/>
    </xf>
    <xf numFmtId="0" fontId="48" fillId="24" borderId="0" xfId="0" applyFont="1" applyFill="1" applyAlignment="1">
      <alignment horizontal="left" vertical="top" wrapText="1"/>
    </xf>
    <xf numFmtId="0" fontId="47" fillId="19" borderId="0" xfId="0" applyFont="1" applyFill="1" applyAlignment="1">
      <alignment horizontal="left" vertical="center"/>
    </xf>
    <xf numFmtId="0" fontId="38" fillId="20" borderId="0" xfId="0" applyFont="1" applyFill="1" applyAlignment="1">
      <alignment horizontal="left" vertical="center"/>
    </xf>
    <xf numFmtId="0" fontId="43" fillId="18" borderId="0" xfId="0" applyFont="1" applyFill="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7F0000"/>
      <rgbColor rgb="FF006600"/>
      <rgbColor rgb="FF000080"/>
      <rgbColor rgb="FF808000"/>
      <rgbColor rgb="FF800080"/>
      <rgbColor rgb="FF008080"/>
      <rgbColor rgb="FFB8B8B8"/>
      <rgbColor rgb="FF808080"/>
      <rgbColor rgb="FF9999FF"/>
      <rgbColor rgb="FF993366"/>
      <rgbColor rgb="FFF2F7FB"/>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Quarters"/>
      <sheetName val="Balance Sheet"/>
      <sheetName val="Cash Flow"/>
      <sheetName val="Customization"/>
      <sheetName val="Data Sheet"/>
      <sheetName val="Sheet1"/>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bloomberg.com/markets/rates-bo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7"/>
  <sheetViews>
    <sheetView topLeftCell="A14" zoomScaleNormal="100" workbookViewId="0">
      <selection activeCell="D26" sqref="D26"/>
    </sheetView>
  </sheetViews>
  <sheetFormatPr defaultColWidth="8.6640625" defaultRowHeight="14.4" x14ac:dyDescent="0.3"/>
  <cols>
    <col min="1" max="1" width="1.88671875" customWidth="1"/>
    <col min="2" max="2" width="5" customWidth="1"/>
    <col min="3" max="3" width="48" customWidth="1"/>
    <col min="4" max="5" width="18" customWidth="1"/>
  </cols>
  <sheetData>
    <row r="1" spans="2:5" ht="27.75" customHeight="1" x14ac:dyDescent="0.3">
      <c r="B1" s="115" t="s">
        <v>0</v>
      </c>
      <c r="C1" s="116"/>
      <c r="D1" s="116"/>
      <c r="E1" s="116"/>
    </row>
    <row r="2" spans="2:5" ht="19.5" customHeight="1" x14ac:dyDescent="0.3">
      <c r="B2" s="120" t="s">
        <v>1</v>
      </c>
      <c r="C2" s="112"/>
      <c r="D2" s="112"/>
      <c r="E2" s="112"/>
    </row>
    <row r="3" spans="2:5" ht="34.5" customHeight="1" x14ac:dyDescent="0.3">
      <c r="B3" s="1" t="s">
        <v>2</v>
      </c>
      <c r="C3" s="1" t="s">
        <v>3</v>
      </c>
      <c r="D3" s="1" t="s">
        <v>4</v>
      </c>
      <c r="E3" s="1" t="s">
        <v>5</v>
      </c>
    </row>
    <row r="4" spans="2:5" ht="18" customHeight="1" x14ac:dyDescent="0.3">
      <c r="B4" s="113" t="s">
        <v>6</v>
      </c>
      <c r="C4" s="114"/>
      <c r="D4" s="114"/>
      <c r="E4" s="114"/>
    </row>
    <row r="5" spans="2:5" ht="18" customHeight="1" x14ac:dyDescent="0.3">
      <c r="B5" s="113" t="s">
        <v>7</v>
      </c>
      <c r="C5" s="114"/>
      <c r="D5" s="114"/>
      <c r="E5" s="114"/>
    </row>
    <row r="6" spans="2:5" ht="15.75" customHeight="1" x14ac:dyDescent="0.3">
      <c r="B6" s="2" t="s">
        <v>8</v>
      </c>
      <c r="C6" s="3" t="s">
        <v>9</v>
      </c>
      <c r="D6" s="4">
        <v>9604.5400000000009</v>
      </c>
      <c r="E6" s="4">
        <v>9838.42</v>
      </c>
    </row>
    <row r="7" spans="2:5" ht="15.75" customHeight="1" x14ac:dyDescent="0.3">
      <c r="B7" s="2" t="s">
        <v>10</v>
      </c>
      <c r="C7" s="3" t="s">
        <v>11</v>
      </c>
      <c r="D7" s="4">
        <v>10350.67</v>
      </c>
      <c r="E7" s="4">
        <v>10350.67</v>
      </c>
    </row>
    <row r="8" spans="2:5" ht="15.75" customHeight="1" x14ac:dyDescent="0.3">
      <c r="B8" s="2" t="s">
        <v>12</v>
      </c>
      <c r="C8" s="3" t="s">
        <v>13</v>
      </c>
      <c r="D8" s="4">
        <v>48888.74</v>
      </c>
      <c r="E8" s="4">
        <v>48936.24</v>
      </c>
    </row>
    <row r="9" spans="2:5" ht="15.75" customHeight="1" x14ac:dyDescent="0.3">
      <c r="B9" s="2" t="s">
        <v>14</v>
      </c>
      <c r="C9" s="3" t="s">
        <v>15</v>
      </c>
      <c r="D9" s="4">
        <v>818.31</v>
      </c>
      <c r="E9" s="4">
        <v>818.31</v>
      </c>
    </row>
    <row r="10" spans="2:5" ht="18" customHeight="1" x14ac:dyDescent="0.3">
      <c r="B10" s="113" t="s">
        <v>16</v>
      </c>
      <c r="C10" s="114"/>
      <c r="D10" s="114"/>
      <c r="E10" s="114"/>
    </row>
    <row r="11" spans="2:5" ht="15.75" customHeight="1" x14ac:dyDescent="0.3">
      <c r="B11" s="2" t="s">
        <v>17</v>
      </c>
      <c r="C11" s="3" t="s">
        <v>18</v>
      </c>
      <c r="D11" s="4">
        <v>281468.68</v>
      </c>
      <c r="E11" s="4">
        <v>283744.03999999998</v>
      </c>
    </row>
    <row r="12" spans="2:5" ht="15.75" customHeight="1" x14ac:dyDescent="0.3">
      <c r="B12" s="2" t="s">
        <v>19</v>
      </c>
      <c r="C12" s="3" t="s">
        <v>20</v>
      </c>
      <c r="D12" s="4">
        <v>101.58</v>
      </c>
      <c r="E12" s="4">
        <v>101.58</v>
      </c>
    </row>
    <row r="13" spans="2:5" ht="15.75" customHeight="1" x14ac:dyDescent="0.3">
      <c r="B13" s="2" t="s">
        <v>21</v>
      </c>
      <c r="C13" s="3" t="s">
        <v>22</v>
      </c>
      <c r="D13" s="4">
        <v>40633.99</v>
      </c>
      <c r="E13" s="4">
        <v>39871.230000000003</v>
      </c>
    </row>
    <row r="14" spans="2:5" ht="15.75" customHeight="1" x14ac:dyDescent="0.3">
      <c r="B14" s="2" t="s">
        <v>23</v>
      </c>
      <c r="C14" s="3" t="s">
        <v>24</v>
      </c>
      <c r="D14" s="4">
        <v>386.57</v>
      </c>
      <c r="E14" s="4">
        <v>364.71</v>
      </c>
    </row>
    <row r="15" spans="2:5" ht="15.75" customHeight="1" x14ac:dyDescent="0.3">
      <c r="B15" s="2" t="s">
        <v>25</v>
      </c>
      <c r="C15" s="3" t="s">
        <v>26</v>
      </c>
      <c r="D15" s="4">
        <v>1264</v>
      </c>
      <c r="E15" s="4">
        <v>1337.04</v>
      </c>
    </row>
    <row r="16" spans="2:5" ht="15.75" customHeight="1" x14ac:dyDescent="0.3">
      <c r="B16" s="2" t="s">
        <v>27</v>
      </c>
      <c r="C16" s="3" t="s">
        <v>28</v>
      </c>
      <c r="D16" s="4">
        <v>1090.9000000000001</v>
      </c>
      <c r="E16" s="4">
        <v>1090.9000000000001</v>
      </c>
    </row>
    <row r="17" spans="2:5" ht="15.75" customHeight="1" x14ac:dyDescent="0.3">
      <c r="B17" s="2" t="s">
        <v>29</v>
      </c>
      <c r="C17" s="3" t="s">
        <v>30</v>
      </c>
      <c r="D17" s="4">
        <v>125.34</v>
      </c>
      <c r="E17" s="4">
        <v>124.84</v>
      </c>
    </row>
    <row r="18" spans="2:5" ht="15.75" customHeight="1" x14ac:dyDescent="0.3">
      <c r="B18" s="2" t="s">
        <v>31</v>
      </c>
      <c r="C18" s="3" t="s">
        <v>32</v>
      </c>
      <c r="D18" s="4">
        <v>23.06</v>
      </c>
      <c r="E18" s="4">
        <v>10.63</v>
      </c>
    </row>
    <row r="19" spans="2:5" ht="18" customHeight="1" x14ac:dyDescent="0.3">
      <c r="B19" s="117" t="s">
        <v>33</v>
      </c>
      <c r="C19" s="118"/>
      <c r="D19" s="5">
        <v>394756.39</v>
      </c>
      <c r="E19" s="5">
        <v>396588.61</v>
      </c>
    </row>
    <row r="21" spans="2:5" ht="18" customHeight="1" x14ac:dyDescent="0.3">
      <c r="B21" s="113" t="s">
        <v>34</v>
      </c>
      <c r="C21" s="114"/>
      <c r="D21" s="114"/>
      <c r="E21" s="114"/>
    </row>
    <row r="22" spans="2:5" ht="18" customHeight="1" x14ac:dyDescent="0.3">
      <c r="B22" s="113" t="s">
        <v>35</v>
      </c>
      <c r="C22" s="114"/>
      <c r="D22" s="114"/>
      <c r="E22" s="114"/>
    </row>
    <row r="23" spans="2:5" ht="15.75" customHeight="1" x14ac:dyDescent="0.3">
      <c r="B23" s="2" t="s">
        <v>36</v>
      </c>
      <c r="C23" s="3" t="s">
        <v>37</v>
      </c>
      <c r="D23" s="4">
        <v>47400.4</v>
      </c>
      <c r="E23" s="4">
        <v>47400.4</v>
      </c>
    </row>
    <row r="24" spans="2:5" ht="15.75" customHeight="1" x14ac:dyDescent="0.3">
      <c r="B24" s="6" t="s">
        <v>38</v>
      </c>
      <c r="C24" s="7" t="s">
        <v>39</v>
      </c>
      <c r="D24" s="8">
        <v>-276893.89</v>
      </c>
      <c r="E24" s="8">
        <v>-276892.76</v>
      </c>
    </row>
    <row r="25" spans="2:5" ht="18" customHeight="1" x14ac:dyDescent="0.3">
      <c r="B25" s="113" t="s">
        <v>40</v>
      </c>
      <c r="C25" s="114"/>
      <c r="D25" s="114"/>
      <c r="E25" s="114"/>
    </row>
    <row r="26" spans="2:5" ht="15.75" customHeight="1" x14ac:dyDescent="0.3">
      <c r="B26" s="2" t="s">
        <v>41</v>
      </c>
      <c r="C26" s="3" t="s">
        <v>42</v>
      </c>
      <c r="D26" s="4"/>
      <c r="E26" s="4"/>
    </row>
    <row r="27" spans="2:5" ht="15.75" customHeight="1" x14ac:dyDescent="0.3">
      <c r="B27" s="2" t="s">
        <v>43</v>
      </c>
      <c r="C27" s="3" t="s">
        <v>44</v>
      </c>
      <c r="D27" s="4"/>
      <c r="E27" s="4"/>
    </row>
    <row r="28" spans="2:5" ht="18" customHeight="1" x14ac:dyDescent="0.3">
      <c r="B28" s="113" t="s">
        <v>45</v>
      </c>
      <c r="C28" s="114"/>
      <c r="D28" s="114"/>
      <c r="E28" s="114"/>
    </row>
    <row r="29" spans="2:5" ht="15.75" customHeight="1" x14ac:dyDescent="0.3">
      <c r="B29" s="2" t="s">
        <v>41</v>
      </c>
      <c r="C29" s="3" t="s">
        <v>46</v>
      </c>
      <c r="D29" s="4">
        <v>248363.72</v>
      </c>
      <c r="E29" s="4">
        <v>248363.72</v>
      </c>
    </row>
    <row r="30" spans="2:5" ht="15.75" customHeight="1" x14ac:dyDescent="0.3">
      <c r="B30" s="2" t="s">
        <v>47</v>
      </c>
      <c r="C30" s="3" t="s">
        <v>48</v>
      </c>
      <c r="D30" s="4">
        <v>41840.14</v>
      </c>
      <c r="E30" s="4">
        <v>41749.35</v>
      </c>
    </row>
    <row r="31" spans="2:5" ht="15.75" customHeight="1" x14ac:dyDescent="0.3">
      <c r="B31" s="2" t="s">
        <v>43</v>
      </c>
      <c r="C31" s="3" t="s">
        <v>49</v>
      </c>
      <c r="D31" s="4">
        <v>125858.81</v>
      </c>
      <c r="E31" s="4">
        <v>126129.82</v>
      </c>
    </row>
    <row r="32" spans="2:5" ht="15.75" customHeight="1" x14ac:dyDescent="0.3">
      <c r="B32" s="2" t="s">
        <v>50</v>
      </c>
      <c r="C32" s="3" t="s">
        <v>51</v>
      </c>
      <c r="D32" s="4">
        <v>207242.71</v>
      </c>
      <c r="E32" s="4">
        <v>208893.57</v>
      </c>
    </row>
    <row r="33" spans="2:5" ht="15.75" customHeight="1" x14ac:dyDescent="0.3">
      <c r="B33" s="2" t="s">
        <v>52</v>
      </c>
      <c r="C33" s="3" t="s">
        <v>53</v>
      </c>
      <c r="D33" s="4">
        <v>944.5</v>
      </c>
      <c r="E33" s="4">
        <v>944.5</v>
      </c>
    </row>
    <row r="34" spans="2:5" ht="18" customHeight="1" x14ac:dyDescent="0.3">
      <c r="B34" s="119" t="s">
        <v>54</v>
      </c>
      <c r="C34" s="114"/>
      <c r="D34" s="5">
        <v>394756.39</v>
      </c>
      <c r="E34" s="5">
        <v>396588.61</v>
      </c>
    </row>
    <row r="36" spans="2:5" x14ac:dyDescent="0.3">
      <c r="C36" s="70" t="s">
        <v>55</v>
      </c>
    </row>
    <row r="37" spans="2:5" ht="21.75" customHeight="1" x14ac:dyDescent="0.3">
      <c r="B37" s="111" t="s">
        <v>56</v>
      </c>
      <c r="C37" s="112"/>
      <c r="D37" s="112"/>
      <c r="E37" s="112"/>
    </row>
  </sheetData>
  <mergeCells count="12">
    <mergeCell ref="B1:E1"/>
    <mergeCell ref="B4:E4"/>
    <mergeCell ref="B19:C19"/>
    <mergeCell ref="B34:C34"/>
    <mergeCell ref="B21:E21"/>
    <mergeCell ref="B25:E25"/>
    <mergeCell ref="B2:E2"/>
    <mergeCell ref="B37:E37"/>
    <mergeCell ref="B5:E5"/>
    <mergeCell ref="B10:E10"/>
    <mergeCell ref="B28:E28"/>
    <mergeCell ref="B22:E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6"/>
  <sheetViews>
    <sheetView zoomScaleNormal="100" workbookViewId="0">
      <selection activeCell="I10" sqref="I10"/>
    </sheetView>
  </sheetViews>
  <sheetFormatPr defaultColWidth="8.6640625" defaultRowHeight="14.4" x14ac:dyDescent="0.3"/>
  <cols>
    <col min="1" max="1" width="1.88671875" customWidth="1"/>
    <col min="2" max="2" width="5" customWidth="1"/>
    <col min="3" max="3" width="50" customWidth="1"/>
    <col min="4" max="5" width="18" customWidth="1"/>
  </cols>
  <sheetData>
    <row r="1" spans="2:5" ht="27.75" customHeight="1" x14ac:dyDescent="0.3">
      <c r="B1" s="115" t="s">
        <v>57</v>
      </c>
      <c r="C1" s="116"/>
      <c r="D1" s="116"/>
      <c r="E1" s="116"/>
    </row>
    <row r="2" spans="2:5" ht="19.5" customHeight="1" x14ac:dyDescent="0.3">
      <c r="B2" s="120" t="s">
        <v>57</v>
      </c>
      <c r="C2" s="112"/>
      <c r="D2" s="112"/>
      <c r="E2" s="112"/>
    </row>
    <row r="3" spans="2:5" ht="34.5" customHeight="1" x14ac:dyDescent="0.3">
      <c r="B3" s="1" t="s">
        <v>2</v>
      </c>
      <c r="C3" s="1" t="s">
        <v>3</v>
      </c>
      <c r="D3" s="1" t="s">
        <v>58</v>
      </c>
      <c r="E3" s="1" t="s">
        <v>59</v>
      </c>
    </row>
    <row r="4" spans="2:5" ht="18" customHeight="1" x14ac:dyDescent="0.3">
      <c r="B4" s="113" t="s">
        <v>60</v>
      </c>
      <c r="C4" s="114"/>
      <c r="D4" s="114"/>
      <c r="E4" s="114"/>
    </row>
    <row r="5" spans="2:5" ht="15.75" customHeight="1" x14ac:dyDescent="0.3">
      <c r="B5" s="2" t="s">
        <v>61</v>
      </c>
      <c r="C5" s="3" t="s">
        <v>62</v>
      </c>
      <c r="D5" s="9">
        <v>3395.61</v>
      </c>
      <c r="E5" s="9">
        <v>204.59</v>
      </c>
    </row>
    <row r="6" spans="2:5" ht="15.75" customHeight="1" x14ac:dyDescent="0.3">
      <c r="B6" s="2" t="s">
        <v>63</v>
      </c>
      <c r="C6" s="3" t="s">
        <v>64</v>
      </c>
      <c r="D6" s="9">
        <v>196.38</v>
      </c>
      <c r="E6" s="9">
        <v>115.72</v>
      </c>
    </row>
    <row r="7" spans="2:5" ht="18" customHeight="1" x14ac:dyDescent="0.3">
      <c r="B7" s="122" t="s">
        <v>65</v>
      </c>
      <c r="C7" s="114"/>
      <c r="D7" s="10">
        <v>3591.99</v>
      </c>
      <c r="E7" s="10">
        <v>320.31</v>
      </c>
    </row>
    <row r="9" spans="2:5" ht="18" customHeight="1" x14ac:dyDescent="0.3">
      <c r="B9" s="113" t="s">
        <v>66</v>
      </c>
      <c r="C9" s="114"/>
      <c r="D9" s="114"/>
      <c r="E9" s="114"/>
    </row>
    <row r="10" spans="2:5" ht="15.75" customHeight="1" x14ac:dyDescent="0.3">
      <c r="B10" s="2" t="s">
        <v>67</v>
      </c>
      <c r="C10" s="3" t="s">
        <v>68</v>
      </c>
      <c r="D10" s="9">
        <v>2275.36</v>
      </c>
      <c r="E10" s="9"/>
    </row>
    <row r="11" spans="2:5" ht="15.75" customHeight="1" x14ac:dyDescent="0.3">
      <c r="B11" s="2" t="s">
        <v>69</v>
      </c>
      <c r="C11" s="3" t="s">
        <v>70</v>
      </c>
      <c r="D11" s="9">
        <v>146.5</v>
      </c>
      <c r="E11" s="9">
        <v>223.94</v>
      </c>
    </row>
    <row r="12" spans="2:5" ht="15.75" customHeight="1" x14ac:dyDescent="0.3">
      <c r="B12" s="2" t="s">
        <v>71</v>
      </c>
      <c r="C12" s="3" t="s">
        <v>72</v>
      </c>
      <c r="D12" s="9">
        <v>253.04</v>
      </c>
      <c r="E12" s="9">
        <v>262.43</v>
      </c>
    </row>
    <row r="13" spans="2:5" ht="15.75" customHeight="1" x14ac:dyDescent="0.3">
      <c r="B13" s="2" t="s">
        <v>73</v>
      </c>
      <c r="C13" s="3" t="s">
        <v>74</v>
      </c>
      <c r="D13" s="9">
        <v>937.39</v>
      </c>
      <c r="E13" s="9">
        <v>876.82</v>
      </c>
    </row>
    <row r="14" spans="2:5" ht="18" customHeight="1" x14ac:dyDescent="0.3">
      <c r="B14" s="122" t="s">
        <v>75</v>
      </c>
      <c r="C14" s="114"/>
      <c r="D14" s="10">
        <v>3612.29</v>
      </c>
      <c r="E14" s="10">
        <v>1363.2</v>
      </c>
    </row>
    <row r="16" spans="2:5" ht="15.75" customHeight="1" x14ac:dyDescent="0.3">
      <c r="B16" s="6"/>
      <c r="C16" s="11" t="s">
        <v>76</v>
      </c>
      <c r="D16" s="12">
        <v>-20.3</v>
      </c>
      <c r="E16" s="12">
        <v>-1042.8900000000001</v>
      </c>
    </row>
    <row r="17" spans="2:5" ht="15.75" customHeight="1" x14ac:dyDescent="0.3">
      <c r="B17" s="2" t="s">
        <v>77</v>
      </c>
      <c r="C17" s="3" t="s">
        <v>78</v>
      </c>
      <c r="D17" s="9">
        <v>19.170000000000002</v>
      </c>
      <c r="E17" s="9">
        <v>11.24</v>
      </c>
    </row>
    <row r="18" spans="2:5" ht="18" customHeight="1" x14ac:dyDescent="0.3">
      <c r="B18" s="121" t="s">
        <v>79</v>
      </c>
      <c r="C18" s="114"/>
      <c r="D18" s="13">
        <v>-1.1299999999999999</v>
      </c>
      <c r="E18" s="13">
        <v>-1031.6500000000001</v>
      </c>
    </row>
    <row r="19" spans="2:5" ht="15.75" customHeight="1" x14ac:dyDescent="0.3">
      <c r="B19" s="2"/>
      <c r="C19" s="3" t="s">
        <v>80</v>
      </c>
      <c r="D19" s="9"/>
      <c r="E19" s="9"/>
    </row>
    <row r="20" spans="2:5" ht="15.75" customHeight="1" x14ac:dyDescent="0.3">
      <c r="B20" s="2"/>
      <c r="C20" s="3" t="s">
        <v>81</v>
      </c>
      <c r="D20" s="9"/>
      <c r="E20" s="9"/>
    </row>
    <row r="21" spans="2:5" ht="19.5" customHeight="1" x14ac:dyDescent="0.3">
      <c r="B21" s="121" t="s">
        <v>82</v>
      </c>
      <c r="C21" s="114"/>
      <c r="D21" s="14">
        <v>-1.1299999999999999</v>
      </c>
      <c r="E21" s="14">
        <v>-1031.6500000000001</v>
      </c>
    </row>
    <row r="23" spans="2:5" ht="15.75" customHeight="1" x14ac:dyDescent="0.3">
      <c r="B23" s="2" t="s">
        <v>83</v>
      </c>
      <c r="C23" s="3" t="s">
        <v>84</v>
      </c>
      <c r="D23" s="9">
        <v>0</v>
      </c>
      <c r="E23" s="9">
        <v>-0.22</v>
      </c>
    </row>
    <row r="24" spans="2:5" ht="15.75" customHeight="1" x14ac:dyDescent="0.3">
      <c r="B24" s="2" t="s">
        <v>83</v>
      </c>
      <c r="C24" s="3" t="s">
        <v>85</v>
      </c>
      <c r="D24" s="9">
        <v>0</v>
      </c>
      <c r="E24" s="9">
        <v>-0.22</v>
      </c>
    </row>
    <row r="26" spans="2:5" x14ac:dyDescent="0.3">
      <c r="C26" s="70" t="s">
        <v>55</v>
      </c>
    </row>
  </sheetData>
  <mergeCells count="8">
    <mergeCell ref="B21:C21"/>
    <mergeCell ref="B1:E1"/>
    <mergeCell ref="B9:E9"/>
    <mergeCell ref="B7:C7"/>
    <mergeCell ref="B4:E4"/>
    <mergeCell ref="B14:C14"/>
    <mergeCell ref="B2:E2"/>
    <mergeCell ref="B18:C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59"/>
  <sheetViews>
    <sheetView zoomScaleNormal="100" workbookViewId="0">
      <selection activeCell="D22" sqref="D22:E22"/>
    </sheetView>
  </sheetViews>
  <sheetFormatPr defaultColWidth="8.6640625" defaultRowHeight="14.4" x14ac:dyDescent="0.3"/>
  <cols>
    <col min="1" max="1" width="1.88671875" customWidth="1"/>
    <col min="2" max="2" width="5" customWidth="1"/>
    <col min="3" max="3" width="55" customWidth="1"/>
    <col min="4" max="5" width="18" customWidth="1"/>
  </cols>
  <sheetData>
    <row r="1" spans="2:5" ht="27.75" customHeight="1" x14ac:dyDescent="0.3">
      <c r="B1" s="115" t="s">
        <v>0</v>
      </c>
      <c r="C1" s="116"/>
      <c r="D1" s="116"/>
      <c r="E1" s="116"/>
    </row>
    <row r="2" spans="2:5" ht="19.5" customHeight="1" x14ac:dyDescent="0.3">
      <c r="B2" s="120" t="s">
        <v>86</v>
      </c>
      <c r="C2" s="112"/>
      <c r="D2" s="112"/>
      <c r="E2" s="112"/>
    </row>
    <row r="3" spans="2:5" ht="30" customHeight="1" x14ac:dyDescent="0.3">
      <c r="B3" s="1"/>
      <c r="C3" s="1" t="s">
        <v>3</v>
      </c>
      <c r="D3" s="1" t="s">
        <v>87</v>
      </c>
      <c r="E3" s="1" t="s">
        <v>88</v>
      </c>
    </row>
    <row r="4" spans="2:5" ht="15.75" customHeight="1" x14ac:dyDescent="0.3">
      <c r="B4" s="15"/>
      <c r="C4" s="16" t="s">
        <v>89</v>
      </c>
      <c r="D4" s="17"/>
      <c r="E4" s="17"/>
    </row>
    <row r="5" spans="2:5" ht="15.75" customHeight="1" x14ac:dyDescent="0.3">
      <c r="B5" s="2"/>
      <c r="C5" s="3" t="s">
        <v>90</v>
      </c>
      <c r="D5" s="71">
        <v>-1.1299999999999999</v>
      </c>
      <c r="E5" s="71">
        <v>-1031.6500000000001</v>
      </c>
    </row>
    <row r="6" spans="2:5" ht="15.75" customHeight="1" x14ac:dyDescent="0.3">
      <c r="B6" s="2"/>
      <c r="C6" s="3" t="s">
        <v>91</v>
      </c>
      <c r="D6" s="71"/>
      <c r="E6" s="71"/>
    </row>
    <row r="7" spans="2:5" ht="15.75" customHeight="1" x14ac:dyDescent="0.3">
      <c r="B7" s="2"/>
      <c r="C7" s="3" t="s">
        <v>92</v>
      </c>
      <c r="D7" s="71">
        <v>253.04</v>
      </c>
      <c r="E7" s="71">
        <v>262.43</v>
      </c>
    </row>
    <row r="8" spans="2:5" ht="15.75" customHeight="1" x14ac:dyDescent="0.3">
      <c r="B8" s="2"/>
      <c r="C8" s="3" t="s">
        <v>93</v>
      </c>
      <c r="D8" s="71">
        <v>-10.67</v>
      </c>
      <c r="E8" s="71">
        <v>19.21</v>
      </c>
    </row>
    <row r="9" spans="2:5" ht="15.75" customHeight="1" x14ac:dyDescent="0.3">
      <c r="B9" s="2"/>
      <c r="C9" s="3" t="s">
        <v>94</v>
      </c>
      <c r="D9" s="71">
        <v>19.170000000000002</v>
      </c>
      <c r="E9" s="71"/>
    </row>
    <row r="10" spans="2:5" ht="15.75" customHeight="1" x14ac:dyDescent="0.3">
      <c r="B10" s="2"/>
      <c r="C10" s="3" t="s">
        <v>95</v>
      </c>
      <c r="D10" s="71">
        <v>-47.5</v>
      </c>
      <c r="E10" s="71"/>
    </row>
    <row r="11" spans="2:5" ht="15.75" customHeight="1" x14ac:dyDescent="0.3">
      <c r="B11" s="18"/>
      <c r="C11" s="19" t="s">
        <v>96</v>
      </c>
      <c r="D11" s="10">
        <v>290.91000000000003</v>
      </c>
      <c r="E11" s="10">
        <v>-799.68</v>
      </c>
    </row>
    <row r="12" spans="2:5" ht="15.75" customHeight="1" x14ac:dyDescent="0.3">
      <c r="B12" s="2"/>
      <c r="C12" s="3" t="s">
        <v>97</v>
      </c>
      <c r="D12" s="71">
        <v>2275.36</v>
      </c>
      <c r="E12" s="9"/>
    </row>
    <row r="13" spans="2:5" ht="15.75" customHeight="1" x14ac:dyDescent="0.3">
      <c r="B13" s="2"/>
      <c r="C13" s="3" t="s">
        <v>98</v>
      </c>
      <c r="D13" s="71">
        <v>-743.6</v>
      </c>
      <c r="E13" s="71">
        <v>547.75</v>
      </c>
    </row>
    <row r="14" spans="2:5" ht="15.75" customHeight="1" x14ac:dyDescent="0.3">
      <c r="B14" s="2"/>
      <c r="C14" s="3" t="s">
        <v>99</v>
      </c>
      <c r="D14" s="71">
        <v>90.79</v>
      </c>
      <c r="E14" s="71">
        <v>263.08</v>
      </c>
    </row>
    <row r="15" spans="2:5" ht="15.75" customHeight="1" x14ac:dyDescent="0.3">
      <c r="B15" s="2"/>
      <c r="C15" s="3" t="s">
        <v>100</v>
      </c>
      <c r="D15" s="71">
        <v>-271.01</v>
      </c>
      <c r="E15" s="71">
        <v>1067.6400000000001</v>
      </c>
    </row>
    <row r="16" spans="2:5" ht="15.75" customHeight="1" x14ac:dyDescent="0.3">
      <c r="B16" s="2"/>
      <c r="C16" s="3" t="s">
        <v>101</v>
      </c>
      <c r="D16" s="71">
        <v>-0.51</v>
      </c>
      <c r="E16" s="71">
        <v>1.06</v>
      </c>
    </row>
    <row r="17" spans="2:5" ht="15.75" customHeight="1" x14ac:dyDescent="0.3">
      <c r="B17" s="2"/>
      <c r="C17" s="3" t="s">
        <v>102</v>
      </c>
      <c r="D17" s="71">
        <v>-1650.85</v>
      </c>
      <c r="E17" s="71">
        <v>-36.83</v>
      </c>
    </row>
    <row r="18" spans="2:5" ht="15.75" customHeight="1" x14ac:dyDescent="0.3">
      <c r="B18" s="18"/>
      <c r="C18" s="19" t="s">
        <v>103</v>
      </c>
      <c r="D18" s="10">
        <v>-299.83</v>
      </c>
      <c r="E18" s="10">
        <v>1842.69</v>
      </c>
    </row>
    <row r="19" spans="2:5" ht="15.75" customHeight="1" x14ac:dyDescent="0.3">
      <c r="B19" s="2"/>
      <c r="C19" s="3" t="s">
        <v>104</v>
      </c>
      <c r="D19" s="71">
        <v>-9.92</v>
      </c>
      <c r="E19" s="9"/>
    </row>
    <row r="20" spans="2:5" ht="15.75" customHeight="1" x14ac:dyDescent="0.3">
      <c r="B20" s="2"/>
      <c r="C20" s="3" t="s">
        <v>105</v>
      </c>
      <c r="D20" s="71">
        <v>-12.43</v>
      </c>
      <c r="E20" s="71">
        <v>1043.02</v>
      </c>
    </row>
    <row r="21" spans="2:5" ht="15.75" customHeight="1" x14ac:dyDescent="0.3">
      <c r="B21" s="18"/>
      <c r="C21" s="19" t="s">
        <v>106</v>
      </c>
      <c r="D21" s="10">
        <v>-21.35</v>
      </c>
      <c r="E21" s="10">
        <v>-10.63</v>
      </c>
    </row>
    <row r="22" spans="2:5" ht="15.75" customHeight="1" x14ac:dyDescent="0.3">
      <c r="B22" s="2"/>
      <c r="C22" s="3" t="s">
        <v>107</v>
      </c>
      <c r="D22" s="71">
        <v>-19.170000000000002</v>
      </c>
      <c r="E22" s="71">
        <v>-11.24</v>
      </c>
    </row>
    <row r="23" spans="2:5" ht="15.75" customHeight="1" x14ac:dyDescent="0.3">
      <c r="B23" s="18" t="s">
        <v>108</v>
      </c>
      <c r="C23" s="19" t="s">
        <v>109</v>
      </c>
      <c r="D23" s="10">
        <v>-40.520000000000003</v>
      </c>
      <c r="E23" s="10">
        <v>1021.15</v>
      </c>
    </row>
    <row r="24" spans="2:5" ht="15.75" customHeight="1" x14ac:dyDescent="0.3">
      <c r="B24" s="15"/>
      <c r="C24" s="16" t="s">
        <v>110</v>
      </c>
      <c r="D24" s="17"/>
      <c r="E24" s="17"/>
    </row>
    <row r="25" spans="2:5" ht="15.75" customHeight="1" x14ac:dyDescent="0.3">
      <c r="B25" s="18" t="s">
        <v>111</v>
      </c>
      <c r="C25" s="19" t="s">
        <v>112</v>
      </c>
      <c r="D25" s="10"/>
      <c r="E25" s="10"/>
    </row>
    <row r="26" spans="2:5" ht="15.75" customHeight="1" x14ac:dyDescent="0.3">
      <c r="B26" s="15"/>
      <c r="C26" s="16" t="s">
        <v>113</v>
      </c>
      <c r="D26" s="17"/>
      <c r="E26" s="17"/>
    </row>
    <row r="27" spans="2:5" ht="15.75" customHeight="1" x14ac:dyDescent="0.3">
      <c r="B27" s="18" t="s">
        <v>114</v>
      </c>
      <c r="C27" s="19" t="s">
        <v>115</v>
      </c>
      <c r="D27" s="10"/>
      <c r="E27" s="10"/>
    </row>
    <row r="28" spans="2:5" ht="15.75" customHeight="1" x14ac:dyDescent="0.3">
      <c r="B28" s="18"/>
      <c r="C28" s="19" t="s">
        <v>116</v>
      </c>
      <c r="D28" s="10">
        <v>-40.520000000000003</v>
      </c>
      <c r="E28" s="10">
        <v>1021.15</v>
      </c>
    </row>
    <row r="29" spans="2:5" ht="15.75" customHeight="1" x14ac:dyDescent="0.3">
      <c r="B29" s="2"/>
      <c r="C29" s="3" t="s">
        <v>117</v>
      </c>
      <c r="D29" s="71">
        <v>1621.82</v>
      </c>
      <c r="E29" s="71">
        <v>600.66999999999996</v>
      </c>
    </row>
    <row r="30" spans="2:5" ht="15.75" customHeight="1" x14ac:dyDescent="0.3">
      <c r="B30" s="18"/>
      <c r="C30" s="19" t="s">
        <v>118</v>
      </c>
      <c r="D30" s="10">
        <v>1581.31</v>
      </c>
      <c r="E30" s="10">
        <v>1621.82</v>
      </c>
    </row>
    <row r="32" spans="2:5" x14ac:dyDescent="0.3">
      <c r="C32" s="70"/>
    </row>
    <row r="33" spans="2:5" ht="22.05" customHeight="1" x14ac:dyDescent="0.3">
      <c r="B33" s="126" t="s">
        <v>119</v>
      </c>
      <c r="C33" s="112"/>
      <c r="D33" s="112"/>
      <c r="E33" s="112"/>
    </row>
    <row r="34" spans="2:5" ht="15.75" customHeight="1" x14ac:dyDescent="0.3">
      <c r="B34" s="79"/>
      <c r="C34" s="124" t="s">
        <v>120</v>
      </c>
      <c r="D34" s="112"/>
      <c r="E34" s="112"/>
    </row>
    <row r="35" spans="2:5" ht="30" customHeight="1" x14ac:dyDescent="0.3">
      <c r="B35" s="80"/>
      <c r="C35" s="81" t="s">
        <v>3</v>
      </c>
      <c r="D35" s="81" t="s">
        <v>87</v>
      </c>
      <c r="E35" s="81" t="s">
        <v>88</v>
      </c>
    </row>
    <row r="36" spans="2:5" ht="15.75" customHeight="1" x14ac:dyDescent="0.3">
      <c r="B36" s="82"/>
      <c r="C36" s="83" t="s">
        <v>121</v>
      </c>
      <c r="D36" s="84">
        <v>67.790000000000006</v>
      </c>
      <c r="E36" s="84">
        <v>67.69</v>
      </c>
    </row>
    <row r="37" spans="2:5" ht="15.75" customHeight="1" x14ac:dyDescent="0.3">
      <c r="B37" s="85"/>
      <c r="C37" s="86" t="s">
        <v>122</v>
      </c>
      <c r="D37" s="85"/>
      <c r="E37" s="85"/>
    </row>
    <row r="38" spans="2:5" ht="15.75" customHeight="1" x14ac:dyDescent="0.3">
      <c r="B38" s="82"/>
      <c r="C38" s="83" t="s">
        <v>123</v>
      </c>
      <c r="D38" s="84">
        <v>268.8</v>
      </c>
      <c r="E38" s="84">
        <v>247.04</v>
      </c>
    </row>
    <row r="39" spans="2:5" ht="15.75" customHeight="1" x14ac:dyDescent="0.3">
      <c r="B39" s="82"/>
      <c r="C39" s="83" t="s">
        <v>124</v>
      </c>
      <c r="D39" s="84">
        <v>49.98</v>
      </c>
      <c r="E39" s="84">
        <v>49.98</v>
      </c>
    </row>
    <row r="40" spans="2:5" ht="15.75" customHeight="1" x14ac:dyDescent="0.3">
      <c r="B40" s="82"/>
      <c r="C40" s="83" t="s">
        <v>125</v>
      </c>
      <c r="D40" s="84">
        <v>1194.94</v>
      </c>
      <c r="E40" s="84">
        <v>1257.31</v>
      </c>
    </row>
    <row r="41" spans="2:5" ht="15.75" customHeight="1" x14ac:dyDescent="0.3">
      <c r="B41" s="82"/>
      <c r="C41" s="83" t="s">
        <v>126</v>
      </c>
      <c r="D41" s="84">
        <v>-0.2</v>
      </c>
      <c r="E41" s="84">
        <v>-0.2</v>
      </c>
    </row>
    <row r="42" spans="2:5" ht="15.75" customHeight="1" x14ac:dyDescent="0.3">
      <c r="B42" s="87"/>
      <c r="C42" s="88" t="s">
        <v>127</v>
      </c>
      <c r="D42" s="89">
        <v>1581.31</v>
      </c>
      <c r="E42" s="89">
        <v>1621.82</v>
      </c>
    </row>
    <row r="43" spans="2:5" ht="7.95" customHeight="1" x14ac:dyDescent="0.3">
      <c r="B43" s="82"/>
      <c r="C43" s="82"/>
      <c r="D43" s="82"/>
      <c r="E43" s="82"/>
    </row>
    <row r="44" spans="2:5" ht="15.75" customHeight="1" x14ac:dyDescent="0.3">
      <c r="B44" s="79"/>
      <c r="C44" s="124" t="s">
        <v>128</v>
      </c>
      <c r="D44" s="112"/>
      <c r="E44" s="112"/>
    </row>
    <row r="45" spans="2:5" ht="30" customHeight="1" x14ac:dyDescent="0.3">
      <c r="B45" s="80"/>
      <c r="C45" s="81" t="s">
        <v>3</v>
      </c>
      <c r="D45" s="81" t="s">
        <v>87</v>
      </c>
      <c r="E45" s="81" t="s">
        <v>88</v>
      </c>
    </row>
    <row r="46" spans="2:5" ht="15.75" customHeight="1" x14ac:dyDescent="0.3">
      <c r="B46" s="82"/>
      <c r="C46" s="83" t="s">
        <v>129</v>
      </c>
      <c r="D46" s="84">
        <v>1194.94</v>
      </c>
      <c r="E46" s="84">
        <v>1257.31</v>
      </c>
    </row>
    <row r="47" spans="2:5" ht="15.75" customHeight="1" x14ac:dyDescent="0.3">
      <c r="B47" s="82"/>
      <c r="C47" s="83" t="s">
        <v>130</v>
      </c>
      <c r="D47" s="84">
        <v>69.06</v>
      </c>
      <c r="E47" s="84">
        <v>79.73</v>
      </c>
    </row>
    <row r="48" spans="2:5" ht="15.75" customHeight="1" x14ac:dyDescent="0.3">
      <c r="B48" s="87"/>
      <c r="C48" s="88" t="s">
        <v>131</v>
      </c>
      <c r="D48" s="89">
        <v>1264</v>
      </c>
      <c r="E48" s="89">
        <v>1337.04</v>
      </c>
    </row>
    <row r="49" spans="2:5" ht="7.95" customHeight="1" x14ac:dyDescent="0.3">
      <c r="B49" s="82"/>
      <c r="C49" s="82"/>
      <c r="D49" s="82"/>
      <c r="E49" s="82"/>
    </row>
    <row r="50" spans="2:5" ht="15.75" customHeight="1" x14ac:dyDescent="0.3">
      <c r="B50" s="79"/>
      <c r="C50" s="124" t="s">
        <v>132</v>
      </c>
      <c r="D50" s="112"/>
      <c r="E50" s="112"/>
    </row>
    <row r="51" spans="2:5" ht="30" customHeight="1" x14ac:dyDescent="0.3">
      <c r="B51" s="80"/>
      <c r="C51" s="81" t="s">
        <v>3</v>
      </c>
      <c r="D51" s="81" t="s">
        <v>87</v>
      </c>
      <c r="E51" s="81" t="s">
        <v>88</v>
      </c>
    </row>
    <row r="52" spans="2:5" ht="15.75" customHeight="1" x14ac:dyDescent="0.3">
      <c r="B52" s="82"/>
      <c r="C52" s="83" t="s">
        <v>133</v>
      </c>
      <c r="D52" s="84">
        <v>1581.31</v>
      </c>
      <c r="E52" s="84">
        <v>1621.82</v>
      </c>
    </row>
    <row r="53" spans="2:5" ht="15.75" customHeight="1" x14ac:dyDescent="0.3">
      <c r="B53" s="82"/>
      <c r="C53" s="83" t="s">
        <v>134</v>
      </c>
      <c r="D53" s="84">
        <v>1264</v>
      </c>
      <c r="E53" s="84">
        <v>1337.04</v>
      </c>
    </row>
    <row r="54" spans="2:5" ht="15.75" customHeight="1" x14ac:dyDescent="0.3">
      <c r="B54" s="87"/>
      <c r="C54" s="88" t="s">
        <v>135</v>
      </c>
      <c r="D54" s="89">
        <v>2845.31</v>
      </c>
      <c r="E54" s="89">
        <v>2958.86</v>
      </c>
    </row>
    <row r="55" spans="2:5" ht="7.95" customHeight="1" x14ac:dyDescent="0.3">
      <c r="B55" s="82"/>
      <c r="C55" s="82"/>
      <c r="D55" s="82"/>
      <c r="E55" s="82"/>
    </row>
    <row r="56" spans="2:5" ht="15.75" customHeight="1" x14ac:dyDescent="0.3">
      <c r="B56" s="79"/>
      <c r="C56" s="124" t="s">
        <v>136</v>
      </c>
      <c r="D56" s="112"/>
      <c r="E56" s="112"/>
    </row>
    <row r="57" spans="2:5" ht="90" customHeight="1" x14ac:dyDescent="0.3">
      <c r="B57" s="90"/>
      <c r="C57" s="125" t="s">
        <v>137</v>
      </c>
      <c r="D57" s="112"/>
      <c r="E57" s="112"/>
    </row>
    <row r="58" spans="2:5" ht="7.95" customHeight="1" x14ac:dyDescent="0.3">
      <c r="B58" s="82"/>
      <c r="C58" s="82"/>
      <c r="D58" s="82"/>
      <c r="E58" s="82"/>
    </row>
    <row r="59" spans="2:5" ht="15.75" customHeight="1" x14ac:dyDescent="0.3">
      <c r="B59" s="82"/>
      <c r="C59" s="123" t="s">
        <v>138</v>
      </c>
      <c r="D59" s="112"/>
      <c r="E59" s="112"/>
    </row>
  </sheetData>
  <mergeCells count="9">
    <mergeCell ref="C59:E59"/>
    <mergeCell ref="C34:E34"/>
    <mergeCell ref="C50:E50"/>
    <mergeCell ref="B1:E1"/>
    <mergeCell ref="C44:E44"/>
    <mergeCell ref="C57:E57"/>
    <mergeCell ref="B33:E33"/>
    <mergeCell ref="C56:E56"/>
    <mergeCell ref="B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273"/>
  <sheetViews>
    <sheetView topLeftCell="A140" workbookViewId="0">
      <selection activeCell="B202" sqref="B202:G210"/>
    </sheetView>
  </sheetViews>
  <sheetFormatPr defaultRowHeight="14.4" x14ac:dyDescent="0.3"/>
  <cols>
    <col min="1" max="1" width="2" customWidth="1"/>
    <col min="2" max="2" width="48" customWidth="1"/>
    <col min="3" max="3" width="5" customWidth="1"/>
    <col min="4" max="5" width="18" customWidth="1"/>
    <col min="6" max="7" width="2" customWidth="1"/>
  </cols>
  <sheetData>
    <row r="1" spans="2:7" ht="36" customHeight="1" x14ac:dyDescent="0.3">
      <c r="B1" s="141" t="s">
        <v>197</v>
      </c>
      <c r="C1" s="112"/>
      <c r="D1" s="112"/>
      <c r="E1" s="112"/>
      <c r="F1" s="112"/>
      <c r="G1" s="112"/>
    </row>
    <row r="2" spans="2:7" ht="30" customHeight="1" x14ac:dyDescent="0.3">
      <c r="B2" s="91" t="s">
        <v>3</v>
      </c>
      <c r="C2" s="91" t="s">
        <v>198</v>
      </c>
      <c r="D2" s="91" t="s">
        <v>87</v>
      </c>
      <c r="E2" s="91" t="s">
        <v>88</v>
      </c>
      <c r="F2" s="91"/>
      <c r="G2" s="91"/>
    </row>
    <row r="3" spans="2:7" ht="6" customHeight="1" x14ac:dyDescent="0.3"/>
    <row r="4" spans="2:7" ht="18" customHeight="1" x14ac:dyDescent="0.3">
      <c r="B4" s="140" t="s">
        <v>199</v>
      </c>
      <c r="C4" s="112"/>
      <c r="D4" s="112"/>
      <c r="E4" s="112"/>
      <c r="F4" s="112"/>
      <c r="G4" s="112"/>
    </row>
    <row r="5" spans="2:7" ht="30" customHeight="1" x14ac:dyDescent="0.3">
      <c r="B5" s="91" t="s">
        <v>200</v>
      </c>
      <c r="C5" s="91" t="s">
        <v>198</v>
      </c>
      <c r="D5" s="91" t="s">
        <v>201</v>
      </c>
      <c r="E5" s="91" t="s">
        <v>202</v>
      </c>
      <c r="F5" s="91"/>
      <c r="G5" s="91"/>
    </row>
    <row r="6" spans="2:7" ht="15" customHeight="1" x14ac:dyDescent="0.3">
      <c r="B6" s="92" t="s">
        <v>203</v>
      </c>
      <c r="C6" s="82"/>
      <c r="D6" s="93">
        <v>9526.51</v>
      </c>
      <c r="E6" s="93">
        <v>9735.5499999999993</v>
      </c>
    </row>
    <row r="7" spans="2:7" ht="15" customHeight="1" x14ac:dyDescent="0.3">
      <c r="B7" s="92" t="s">
        <v>204</v>
      </c>
      <c r="C7" s="82"/>
      <c r="D7" s="93">
        <v>69.349999999999994</v>
      </c>
      <c r="E7" s="93">
        <v>98.39</v>
      </c>
    </row>
    <row r="8" spans="2:7" ht="15" customHeight="1" x14ac:dyDescent="0.3">
      <c r="B8" s="92" t="s">
        <v>205</v>
      </c>
      <c r="C8" s="82"/>
      <c r="D8" s="93">
        <v>0.5</v>
      </c>
      <c r="E8" s="93">
        <v>0</v>
      </c>
    </row>
    <row r="9" spans="2:7" ht="15" customHeight="1" x14ac:dyDescent="0.3">
      <c r="B9" s="92" t="s">
        <v>206</v>
      </c>
      <c r="C9" s="82"/>
      <c r="D9" s="93">
        <v>6.19</v>
      </c>
      <c r="E9" s="93">
        <v>4.5</v>
      </c>
    </row>
    <row r="10" spans="2:7" ht="15" customHeight="1" x14ac:dyDescent="0.3">
      <c r="B10" s="92" t="s">
        <v>207</v>
      </c>
      <c r="C10" s="82"/>
      <c r="D10" s="93">
        <v>0.11</v>
      </c>
      <c r="E10" s="93">
        <v>-0.1</v>
      </c>
    </row>
    <row r="11" spans="2:7" ht="15" customHeight="1" x14ac:dyDescent="0.3">
      <c r="B11" s="92" t="s">
        <v>208</v>
      </c>
      <c r="C11" s="82"/>
      <c r="D11" s="93">
        <v>0.31</v>
      </c>
      <c r="E11" s="93">
        <v>-0.91</v>
      </c>
    </row>
    <row r="12" spans="2:7" ht="15" customHeight="1" x14ac:dyDescent="0.3">
      <c r="B12" s="94" t="s">
        <v>209</v>
      </c>
      <c r="C12" s="87"/>
      <c r="D12" s="95">
        <v>9602.9699999999993</v>
      </c>
      <c r="E12" s="95">
        <v>9838.43</v>
      </c>
    </row>
    <row r="13" spans="2:7" ht="15" customHeight="1" x14ac:dyDescent="0.3">
      <c r="B13" s="92" t="s">
        <v>210</v>
      </c>
      <c r="C13" s="82"/>
      <c r="D13" s="93">
        <v>1.57</v>
      </c>
      <c r="E13" s="82"/>
    </row>
    <row r="14" spans="2:7" ht="15" customHeight="1" x14ac:dyDescent="0.3">
      <c r="B14" s="94" t="s">
        <v>211</v>
      </c>
      <c r="C14" s="87"/>
      <c r="D14" s="95">
        <v>9604.5400000000009</v>
      </c>
      <c r="E14" s="95">
        <v>9838.43</v>
      </c>
    </row>
    <row r="15" spans="2:7" ht="15" customHeight="1" x14ac:dyDescent="0.3">
      <c r="B15" s="139" t="s">
        <v>212</v>
      </c>
      <c r="C15" s="112"/>
      <c r="D15" s="112"/>
      <c r="E15" s="112"/>
      <c r="F15" s="112"/>
      <c r="G15" s="112"/>
    </row>
    <row r="16" spans="2:7" ht="15" customHeight="1" x14ac:dyDescent="0.3">
      <c r="B16" s="92" t="s">
        <v>213</v>
      </c>
      <c r="C16" s="82"/>
      <c r="D16" s="93">
        <v>10350.67</v>
      </c>
      <c r="E16" s="93">
        <v>10350.67</v>
      </c>
    </row>
    <row r="17" spans="2:7" ht="15" customHeight="1" x14ac:dyDescent="0.3">
      <c r="B17" s="94" t="s">
        <v>214</v>
      </c>
      <c r="C17" s="87"/>
      <c r="D17" s="95">
        <v>10350.67</v>
      </c>
      <c r="E17" s="95">
        <v>10350.67</v>
      </c>
    </row>
    <row r="18" spans="2:7" ht="49.95" customHeight="1" x14ac:dyDescent="0.3">
      <c r="B18" s="138" t="s">
        <v>215</v>
      </c>
      <c r="C18" s="112"/>
      <c r="D18" s="112"/>
      <c r="E18" s="112"/>
      <c r="F18" s="112"/>
      <c r="G18" s="112"/>
    </row>
    <row r="19" spans="2:7" ht="6" customHeight="1" x14ac:dyDescent="0.3"/>
    <row r="20" spans="2:7" ht="18" customHeight="1" x14ac:dyDescent="0.3">
      <c r="B20" s="140" t="s">
        <v>216</v>
      </c>
      <c r="C20" s="112"/>
      <c r="D20" s="112"/>
      <c r="E20" s="112"/>
      <c r="F20" s="112"/>
      <c r="G20" s="112"/>
    </row>
    <row r="21" spans="2:7" ht="30" customHeight="1" x14ac:dyDescent="0.3">
      <c r="B21" s="91" t="s">
        <v>3</v>
      </c>
      <c r="C21" s="91" t="s">
        <v>198</v>
      </c>
      <c r="D21" s="91" t="s">
        <v>87</v>
      </c>
      <c r="E21" s="91" t="s">
        <v>88</v>
      </c>
      <c r="F21" s="91"/>
      <c r="G21" s="91"/>
    </row>
    <row r="22" spans="2:7" ht="15" customHeight="1" x14ac:dyDescent="0.3">
      <c r="B22" s="139" t="s">
        <v>217</v>
      </c>
      <c r="C22" s="112"/>
      <c r="D22" s="112"/>
      <c r="E22" s="112"/>
      <c r="F22" s="112"/>
      <c r="G22" s="112"/>
    </row>
    <row r="23" spans="2:7" ht="15" customHeight="1" x14ac:dyDescent="0.3">
      <c r="B23" s="92" t="s">
        <v>218</v>
      </c>
      <c r="C23" s="82"/>
      <c r="D23" s="82"/>
      <c r="E23" s="93">
        <v>47.5</v>
      </c>
    </row>
    <row r="24" spans="2:7" ht="15" customHeight="1" x14ac:dyDescent="0.3">
      <c r="B24" s="92" t="s">
        <v>219</v>
      </c>
      <c r="C24" s="82"/>
      <c r="D24" s="93">
        <v>9.4</v>
      </c>
      <c r="E24" s="93">
        <v>9.4</v>
      </c>
    </row>
    <row r="25" spans="2:7" ht="15" customHeight="1" x14ac:dyDescent="0.3">
      <c r="B25" s="139" t="s">
        <v>220</v>
      </c>
      <c r="C25" s="112"/>
      <c r="D25" s="112"/>
      <c r="E25" s="112"/>
      <c r="F25" s="112"/>
      <c r="G25" s="112"/>
    </row>
    <row r="26" spans="2:7" ht="15" customHeight="1" x14ac:dyDescent="0.3">
      <c r="B26" s="92" t="s">
        <v>221</v>
      </c>
      <c r="C26" s="82"/>
      <c r="D26" s="93">
        <v>36145.79</v>
      </c>
      <c r="E26" s="93">
        <v>36145.79</v>
      </c>
    </row>
    <row r="27" spans="2:7" ht="15" customHeight="1" x14ac:dyDescent="0.3">
      <c r="B27" s="92" t="s">
        <v>222</v>
      </c>
      <c r="C27" s="82"/>
      <c r="D27" s="93">
        <v>2746.35</v>
      </c>
      <c r="E27" s="93">
        <v>2746.35</v>
      </c>
    </row>
    <row r="28" spans="2:7" ht="15" customHeight="1" x14ac:dyDescent="0.3">
      <c r="B28" s="92" t="s">
        <v>223</v>
      </c>
      <c r="C28" s="82"/>
      <c r="D28" s="93">
        <v>29948.75</v>
      </c>
      <c r="E28" s="93">
        <v>29948.75</v>
      </c>
    </row>
    <row r="29" spans="2:7" ht="15" customHeight="1" x14ac:dyDescent="0.3">
      <c r="B29" s="92" t="s">
        <v>224</v>
      </c>
      <c r="C29" s="82"/>
      <c r="D29" s="93">
        <v>-29948.75</v>
      </c>
      <c r="E29" s="93">
        <v>-29948.75</v>
      </c>
    </row>
    <row r="30" spans="2:7" ht="15" customHeight="1" x14ac:dyDescent="0.3">
      <c r="B30" s="92" t="s">
        <v>225</v>
      </c>
      <c r="C30" s="82"/>
      <c r="D30" s="82"/>
      <c r="E30" s="82"/>
    </row>
    <row r="31" spans="2:7" ht="15" customHeight="1" x14ac:dyDescent="0.3">
      <c r="B31" s="92" t="s">
        <v>226</v>
      </c>
      <c r="C31" s="82"/>
      <c r="D31" s="93">
        <v>9297.2000000000007</v>
      </c>
      <c r="E31" s="93">
        <v>9297.2000000000007</v>
      </c>
    </row>
    <row r="32" spans="2:7" ht="15" customHeight="1" x14ac:dyDescent="0.3">
      <c r="B32" s="92" t="s">
        <v>227</v>
      </c>
      <c r="C32" s="82"/>
      <c r="D32" s="93">
        <v>690</v>
      </c>
      <c r="E32" s="93">
        <v>690</v>
      </c>
    </row>
    <row r="33" spans="2:7" ht="15" customHeight="1" x14ac:dyDescent="0.3">
      <c r="B33" s="94" t="s">
        <v>228</v>
      </c>
      <c r="C33" s="87"/>
      <c r="D33" s="95">
        <v>48888.74</v>
      </c>
      <c r="E33" s="95">
        <v>48936.24</v>
      </c>
    </row>
    <row r="34" spans="2:7" ht="15" customHeight="1" x14ac:dyDescent="0.3">
      <c r="B34" s="92" t="s">
        <v>229</v>
      </c>
      <c r="C34" s="82"/>
      <c r="D34" s="93">
        <v>48888.74</v>
      </c>
      <c r="E34" s="93">
        <v>48936.24</v>
      </c>
    </row>
    <row r="35" spans="2:7" ht="15" customHeight="1" x14ac:dyDescent="0.3">
      <c r="B35" s="92" t="s">
        <v>230</v>
      </c>
      <c r="C35" s="82"/>
      <c r="D35" s="93">
        <v>-29948.75</v>
      </c>
      <c r="E35" s="93">
        <v>-29948.75</v>
      </c>
    </row>
    <row r="36" spans="2:7" ht="49.95" customHeight="1" x14ac:dyDescent="0.3">
      <c r="B36" s="138" t="s">
        <v>231</v>
      </c>
      <c r="C36" s="112"/>
      <c r="D36" s="112"/>
      <c r="E36" s="112"/>
      <c r="F36" s="112"/>
      <c r="G36" s="112"/>
    </row>
    <row r="37" spans="2:7" ht="6" customHeight="1" x14ac:dyDescent="0.3"/>
    <row r="38" spans="2:7" ht="18" customHeight="1" x14ac:dyDescent="0.3">
      <c r="B38" s="140" t="s">
        <v>232</v>
      </c>
      <c r="C38" s="112"/>
      <c r="D38" s="112"/>
      <c r="E38" s="112"/>
      <c r="F38" s="112"/>
      <c r="G38" s="112"/>
    </row>
    <row r="39" spans="2:7" ht="30" customHeight="1" x14ac:dyDescent="0.3">
      <c r="B39" s="91" t="s">
        <v>3</v>
      </c>
      <c r="C39" s="91" t="s">
        <v>198</v>
      </c>
      <c r="D39" s="91" t="s">
        <v>87</v>
      </c>
      <c r="E39" s="91" t="s">
        <v>88</v>
      </c>
      <c r="F39" s="91"/>
      <c r="G39" s="91"/>
    </row>
    <row r="40" spans="2:7" ht="15" customHeight="1" x14ac:dyDescent="0.3">
      <c r="B40" s="92" t="s">
        <v>233</v>
      </c>
      <c r="C40" s="82"/>
      <c r="D40" s="93">
        <v>41.23</v>
      </c>
      <c r="E40" s="93">
        <v>41.23</v>
      </c>
    </row>
    <row r="41" spans="2:7" ht="15" customHeight="1" x14ac:dyDescent="0.3">
      <c r="B41" s="92" t="s">
        <v>234</v>
      </c>
      <c r="C41" s="82"/>
      <c r="D41" s="93">
        <v>777.08</v>
      </c>
      <c r="E41" s="93">
        <v>777.08</v>
      </c>
    </row>
    <row r="42" spans="2:7" ht="15" customHeight="1" x14ac:dyDescent="0.3">
      <c r="B42" s="94" t="s">
        <v>235</v>
      </c>
      <c r="C42" s="87"/>
      <c r="D42" s="95">
        <v>818.31</v>
      </c>
      <c r="E42" s="95">
        <v>818.31</v>
      </c>
    </row>
    <row r="43" spans="2:7" ht="30" customHeight="1" x14ac:dyDescent="0.3">
      <c r="B43" s="138" t="s">
        <v>236</v>
      </c>
      <c r="C43" s="112"/>
      <c r="D43" s="112"/>
      <c r="E43" s="112"/>
      <c r="F43" s="112"/>
      <c r="G43" s="112"/>
    </row>
    <row r="44" spans="2:7" ht="6" customHeight="1" x14ac:dyDescent="0.3"/>
    <row r="45" spans="2:7" ht="18" customHeight="1" x14ac:dyDescent="0.3">
      <c r="B45" s="140" t="s">
        <v>237</v>
      </c>
      <c r="C45" s="112"/>
      <c r="D45" s="112"/>
      <c r="E45" s="112"/>
      <c r="F45" s="112"/>
      <c r="G45" s="112"/>
    </row>
    <row r="46" spans="2:7" ht="30" customHeight="1" x14ac:dyDescent="0.3">
      <c r="B46" s="91" t="s">
        <v>3</v>
      </c>
      <c r="C46" s="91" t="s">
        <v>198</v>
      </c>
      <c r="D46" s="91" t="s">
        <v>87</v>
      </c>
      <c r="E46" s="91" t="s">
        <v>88</v>
      </c>
      <c r="F46" s="91"/>
      <c r="G46" s="91"/>
    </row>
    <row r="47" spans="2:7" ht="15" customHeight="1" x14ac:dyDescent="0.3">
      <c r="B47" s="92" t="s">
        <v>238</v>
      </c>
      <c r="C47" s="82"/>
      <c r="D47" s="93">
        <v>1096771.78</v>
      </c>
      <c r="E47" s="93">
        <v>1099047.1299999999</v>
      </c>
    </row>
    <row r="48" spans="2:7" ht="15" customHeight="1" x14ac:dyDescent="0.3">
      <c r="B48" s="92" t="s">
        <v>239</v>
      </c>
      <c r="C48" s="82"/>
      <c r="D48" s="93">
        <v>-833933.26</v>
      </c>
      <c r="E48" s="93">
        <v>-833933.26</v>
      </c>
    </row>
    <row r="49" spans="2:7" ht="15" customHeight="1" x14ac:dyDescent="0.3">
      <c r="B49" s="94" t="s">
        <v>240</v>
      </c>
      <c r="C49" s="87"/>
      <c r="D49" s="95">
        <v>262838.52</v>
      </c>
      <c r="E49" s="95">
        <v>265113.88</v>
      </c>
    </row>
    <row r="50" spans="2:7" ht="15" customHeight="1" x14ac:dyDescent="0.3">
      <c r="B50" s="92" t="s">
        <v>241</v>
      </c>
      <c r="C50" s="82"/>
      <c r="D50" s="93">
        <v>18630.169999999998</v>
      </c>
      <c r="E50" s="93">
        <v>18630.169999999998</v>
      </c>
    </row>
    <row r="51" spans="2:7" ht="15" customHeight="1" x14ac:dyDescent="0.3">
      <c r="B51" s="94" t="s">
        <v>242</v>
      </c>
      <c r="C51" s="87"/>
      <c r="D51" s="95">
        <v>281468.68</v>
      </c>
      <c r="E51" s="95">
        <v>283744.03999999998</v>
      </c>
    </row>
    <row r="52" spans="2:7" ht="49.95" customHeight="1" x14ac:dyDescent="0.3">
      <c r="B52" s="138" t="s">
        <v>243</v>
      </c>
      <c r="C52" s="112"/>
      <c r="D52" s="112"/>
      <c r="E52" s="112"/>
      <c r="F52" s="112"/>
      <c r="G52" s="112"/>
    </row>
    <row r="53" spans="2:7" ht="6" customHeight="1" x14ac:dyDescent="0.3"/>
    <row r="54" spans="2:7" ht="18" customHeight="1" x14ac:dyDescent="0.3">
      <c r="B54" s="140" t="s">
        <v>244</v>
      </c>
      <c r="C54" s="112"/>
      <c r="D54" s="112"/>
      <c r="E54" s="112"/>
      <c r="F54" s="112"/>
      <c r="G54" s="112"/>
    </row>
    <row r="55" spans="2:7" ht="30" customHeight="1" x14ac:dyDescent="0.3">
      <c r="B55" s="91" t="s">
        <v>3</v>
      </c>
      <c r="C55" s="91" t="s">
        <v>198</v>
      </c>
      <c r="D55" s="91" t="s">
        <v>87</v>
      </c>
      <c r="E55" s="91" t="s">
        <v>88</v>
      </c>
      <c r="F55" s="91"/>
      <c r="G55" s="91"/>
    </row>
    <row r="56" spans="2:7" ht="15" customHeight="1" x14ac:dyDescent="0.3">
      <c r="B56" s="139" t="s">
        <v>245</v>
      </c>
      <c r="C56" s="112"/>
      <c r="D56" s="112"/>
      <c r="E56" s="112"/>
      <c r="F56" s="112"/>
      <c r="G56" s="112"/>
    </row>
    <row r="57" spans="2:7" ht="15" customHeight="1" x14ac:dyDescent="0.3">
      <c r="B57" s="92" t="s">
        <v>246</v>
      </c>
      <c r="C57" s="82"/>
      <c r="D57" s="93">
        <v>1.58</v>
      </c>
      <c r="E57" s="93">
        <v>1.58</v>
      </c>
    </row>
    <row r="58" spans="2:7" ht="15" customHeight="1" x14ac:dyDescent="0.3">
      <c r="B58" s="92" t="s">
        <v>247</v>
      </c>
      <c r="C58" s="82"/>
      <c r="D58" s="93">
        <v>100</v>
      </c>
      <c r="E58" s="93">
        <v>100</v>
      </c>
    </row>
    <row r="59" spans="2:7" ht="15" customHeight="1" x14ac:dyDescent="0.3">
      <c r="B59" s="94" t="s">
        <v>248</v>
      </c>
      <c r="C59" s="87"/>
      <c r="D59" s="95">
        <v>101.58</v>
      </c>
      <c r="E59" s="95">
        <v>101.58</v>
      </c>
    </row>
    <row r="60" spans="2:7" ht="40.049999999999997" customHeight="1" x14ac:dyDescent="0.3">
      <c r="B60" s="138" t="s">
        <v>249</v>
      </c>
      <c r="C60" s="112"/>
      <c r="D60" s="112"/>
      <c r="E60" s="112"/>
      <c r="F60" s="112"/>
      <c r="G60" s="112"/>
    </row>
    <row r="61" spans="2:7" ht="6" customHeight="1" x14ac:dyDescent="0.3"/>
    <row r="62" spans="2:7" ht="18" customHeight="1" x14ac:dyDescent="0.3">
      <c r="B62" s="140" t="s">
        <v>250</v>
      </c>
      <c r="C62" s="112"/>
      <c r="D62" s="112"/>
      <c r="E62" s="112"/>
      <c r="F62" s="112"/>
      <c r="G62" s="112"/>
    </row>
    <row r="63" spans="2:7" ht="30" customHeight="1" x14ac:dyDescent="0.3">
      <c r="B63" s="91" t="s">
        <v>3</v>
      </c>
      <c r="C63" s="91" t="s">
        <v>198</v>
      </c>
      <c r="D63" s="91" t="s">
        <v>87</v>
      </c>
      <c r="E63" s="91" t="s">
        <v>88</v>
      </c>
      <c r="F63" s="91"/>
      <c r="G63" s="91"/>
    </row>
    <row r="64" spans="2:7" ht="15" customHeight="1" x14ac:dyDescent="0.3">
      <c r="B64" s="92" t="s">
        <v>251</v>
      </c>
      <c r="C64" s="82"/>
      <c r="D64" s="93">
        <v>40633.99</v>
      </c>
      <c r="E64" s="93">
        <v>39871.230000000003</v>
      </c>
    </row>
    <row r="65" spans="2:7" ht="15" customHeight="1" x14ac:dyDescent="0.3">
      <c r="B65" s="92" t="s">
        <v>252</v>
      </c>
      <c r="C65" s="82"/>
      <c r="D65" s="93">
        <v>178285.53</v>
      </c>
      <c r="E65" s="93">
        <v>178285.53</v>
      </c>
    </row>
    <row r="66" spans="2:7" ht="15" customHeight="1" x14ac:dyDescent="0.3">
      <c r="B66" s="92" t="s">
        <v>253</v>
      </c>
      <c r="C66" s="82"/>
      <c r="D66" s="93">
        <v>-178285.53</v>
      </c>
      <c r="E66" s="93">
        <v>-178285.53</v>
      </c>
    </row>
    <row r="67" spans="2:7" ht="15" customHeight="1" x14ac:dyDescent="0.3">
      <c r="B67" s="94" t="s">
        <v>254</v>
      </c>
      <c r="C67" s="87"/>
      <c r="D67" s="95">
        <v>40633.99</v>
      </c>
      <c r="E67" s="95">
        <v>39871.230000000003</v>
      </c>
    </row>
    <row r="68" spans="2:7" ht="49.95" customHeight="1" x14ac:dyDescent="0.3">
      <c r="B68" s="138" t="s">
        <v>255</v>
      </c>
      <c r="C68" s="112"/>
      <c r="D68" s="112"/>
      <c r="E68" s="112"/>
      <c r="F68" s="112"/>
      <c r="G68" s="112"/>
    </row>
    <row r="69" spans="2:7" ht="6" customHeight="1" x14ac:dyDescent="0.3"/>
    <row r="70" spans="2:7" ht="18" customHeight="1" x14ac:dyDescent="0.3">
      <c r="B70" s="140" t="s">
        <v>256</v>
      </c>
      <c r="C70" s="112"/>
      <c r="D70" s="112"/>
      <c r="E70" s="112"/>
      <c r="F70" s="112"/>
      <c r="G70" s="112"/>
    </row>
    <row r="71" spans="2:7" ht="30" customHeight="1" x14ac:dyDescent="0.3">
      <c r="B71" s="91" t="s">
        <v>3</v>
      </c>
      <c r="C71" s="91" t="s">
        <v>198</v>
      </c>
      <c r="D71" s="91" t="s">
        <v>87</v>
      </c>
      <c r="E71" s="91" t="s">
        <v>88</v>
      </c>
      <c r="F71" s="91"/>
      <c r="G71" s="91"/>
    </row>
    <row r="72" spans="2:7" ht="15" customHeight="1" x14ac:dyDescent="0.3">
      <c r="B72" s="139" t="s">
        <v>257</v>
      </c>
      <c r="C72" s="112"/>
      <c r="D72" s="112"/>
      <c r="E72" s="112"/>
      <c r="F72" s="112"/>
      <c r="G72" s="112"/>
    </row>
    <row r="73" spans="2:7" ht="15" customHeight="1" x14ac:dyDescent="0.3">
      <c r="B73" s="92" t="s">
        <v>258</v>
      </c>
      <c r="C73" s="82"/>
      <c r="D73" s="93">
        <v>268.8</v>
      </c>
      <c r="E73" s="93">
        <v>247.04</v>
      </c>
    </row>
    <row r="74" spans="2:7" ht="15" customHeight="1" x14ac:dyDescent="0.3">
      <c r="B74" s="92" t="s">
        <v>259</v>
      </c>
      <c r="C74" s="82"/>
      <c r="D74" s="93">
        <v>49.98</v>
      </c>
      <c r="E74" s="93">
        <v>49.98</v>
      </c>
    </row>
    <row r="75" spans="2:7" ht="15" customHeight="1" x14ac:dyDescent="0.3">
      <c r="B75" s="92" t="s">
        <v>121</v>
      </c>
      <c r="C75" s="82"/>
      <c r="D75" s="93">
        <v>67.790000000000006</v>
      </c>
      <c r="E75" s="93">
        <v>67.69</v>
      </c>
    </row>
    <row r="76" spans="2:7" ht="15" customHeight="1" x14ac:dyDescent="0.3">
      <c r="B76" s="94" t="s">
        <v>260</v>
      </c>
      <c r="C76" s="87"/>
      <c r="D76" s="95">
        <v>386.57</v>
      </c>
      <c r="E76" s="95">
        <v>364.71</v>
      </c>
    </row>
    <row r="77" spans="2:7" ht="70.05" customHeight="1" x14ac:dyDescent="0.3">
      <c r="B77" s="138" t="s">
        <v>261</v>
      </c>
      <c r="C77" s="112"/>
      <c r="D77" s="112"/>
      <c r="E77" s="112"/>
      <c r="F77" s="112"/>
      <c r="G77" s="112"/>
    </row>
    <row r="78" spans="2:7" ht="6" customHeight="1" x14ac:dyDescent="0.3"/>
    <row r="79" spans="2:7" ht="18" customHeight="1" x14ac:dyDescent="0.3">
      <c r="B79" s="140" t="s">
        <v>262</v>
      </c>
      <c r="C79" s="112"/>
      <c r="D79" s="112"/>
      <c r="E79" s="112"/>
      <c r="F79" s="112"/>
      <c r="G79" s="112"/>
    </row>
    <row r="80" spans="2:7" ht="30" customHeight="1" x14ac:dyDescent="0.3">
      <c r="B80" s="91" t="s">
        <v>3</v>
      </c>
      <c r="C80" s="91" t="s">
        <v>198</v>
      </c>
      <c r="D80" s="91" t="s">
        <v>87</v>
      </c>
      <c r="E80" s="91" t="s">
        <v>88</v>
      </c>
      <c r="F80" s="91"/>
      <c r="G80" s="91"/>
    </row>
    <row r="81" spans="2:7" ht="15" customHeight="1" x14ac:dyDescent="0.3">
      <c r="B81" s="92" t="s">
        <v>129</v>
      </c>
      <c r="C81" s="82"/>
      <c r="D81" s="93">
        <v>1194.94</v>
      </c>
      <c r="E81" s="93">
        <v>1257.31</v>
      </c>
    </row>
    <row r="82" spans="2:7" ht="15" customHeight="1" x14ac:dyDescent="0.3">
      <c r="B82" s="92" t="s">
        <v>130</v>
      </c>
      <c r="C82" s="82"/>
      <c r="D82" s="93">
        <v>69.06</v>
      </c>
      <c r="E82" s="93">
        <v>79.73</v>
      </c>
    </row>
    <row r="83" spans="2:7" ht="15" customHeight="1" x14ac:dyDescent="0.3">
      <c r="B83" s="94" t="s">
        <v>263</v>
      </c>
      <c r="C83" s="87"/>
      <c r="D83" s="95">
        <v>1264</v>
      </c>
      <c r="E83" s="95">
        <v>1337.04</v>
      </c>
    </row>
    <row r="84" spans="2:7" ht="6" customHeight="1" x14ac:dyDescent="0.3"/>
    <row r="85" spans="2:7" ht="18" customHeight="1" x14ac:dyDescent="0.3">
      <c r="B85" s="140" t="s">
        <v>264</v>
      </c>
      <c r="C85" s="112"/>
      <c r="D85" s="112"/>
      <c r="E85" s="112"/>
      <c r="F85" s="112"/>
      <c r="G85" s="112"/>
    </row>
    <row r="86" spans="2:7" ht="30" customHeight="1" x14ac:dyDescent="0.3">
      <c r="B86" s="91" t="s">
        <v>3</v>
      </c>
      <c r="C86" s="91" t="s">
        <v>198</v>
      </c>
      <c r="D86" s="91" t="s">
        <v>87</v>
      </c>
      <c r="E86" s="91" t="s">
        <v>88</v>
      </c>
      <c r="F86" s="91"/>
      <c r="G86" s="91"/>
    </row>
    <row r="87" spans="2:7" ht="15" customHeight="1" x14ac:dyDescent="0.3">
      <c r="B87" s="92" t="s">
        <v>265</v>
      </c>
      <c r="C87" s="82"/>
      <c r="D87" s="93">
        <v>1008.15</v>
      </c>
      <c r="E87" s="93">
        <v>1008.15</v>
      </c>
    </row>
    <row r="88" spans="2:7" ht="15" customHeight="1" x14ac:dyDescent="0.3">
      <c r="B88" s="92" t="s">
        <v>266</v>
      </c>
      <c r="C88" s="82"/>
      <c r="D88" s="93">
        <v>5585.57</v>
      </c>
      <c r="E88" s="93">
        <v>5585.57</v>
      </c>
    </row>
    <row r="89" spans="2:7" ht="15" customHeight="1" x14ac:dyDescent="0.3">
      <c r="B89" s="92" t="s">
        <v>267</v>
      </c>
      <c r="C89" s="82"/>
      <c r="D89" s="93">
        <v>-5585.57</v>
      </c>
      <c r="E89" s="93">
        <v>-5585.57</v>
      </c>
    </row>
    <row r="90" spans="2:7" ht="15" customHeight="1" x14ac:dyDescent="0.3">
      <c r="B90" s="92" t="s">
        <v>268</v>
      </c>
      <c r="C90" s="82"/>
      <c r="D90" s="82"/>
      <c r="E90" s="82"/>
    </row>
    <row r="91" spans="2:7" ht="15" customHeight="1" x14ac:dyDescent="0.3">
      <c r="B91" s="92" t="s">
        <v>269</v>
      </c>
      <c r="C91" s="82"/>
      <c r="D91" s="93">
        <v>82.75</v>
      </c>
      <c r="E91" s="93">
        <v>82.75</v>
      </c>
    </row>
    <row r="92" spans="2:7" ht="15" customHeight="1" x14ac:dyDescent="0.3">
      <c r="B92" s="94" t="s">
        <v>235</v>
      </c>
      <c r="C92" s="87"/>
      <c r="D92" s="95">
        <v>1090.9000000000001</v>
      </c>
      <c r="E92" s="95">
        <v>1090.9000000000001</v>
      </c>
    </row>
    <row r="93" spans="2:7" ht="40.049999999999997" customHeight="1" x14ac:dyDescent="0.3">
      <c r="B93" s="138" t="s">
        <v>270</v>
      </c>
      <c r="C93" s="112"/>
      <c r="D93" s="112"/>
      <c r="E93" s="112"/>
      <c r="F93" s="112"/>
      <c r="G93" s="112"/>
    </row>
    <row r="94" spans="2:7" ht="6" customHeight="1" x14ac:dyDescent="0.3"/>
    <row r="95" spans="2:7" ht="18" customHeight="1" x14ac:dyDescent="0.3">
      <c r="B95" s="140" t="s">
        <v>271</v>
      </c>
      <c r="C95" s="112"/>
      <c r="D95" s="112"/>
      <c r="E95" s="112"/>
      <c r="F95" s="112"/>
      <c r="G95" s="112"/>
    </row>
    <row r="96" spans="2:7" ht="30" customHeight="1" x14ac:dyDescent="0.3">
      <c r="B96" s="91" t="s">
        <v>3</v>
      </c>
      <c r="C96" s="91" t="s">
        <v>198</v>
      </c>
      <c r="D96" s="91" t="s">
        <v>87</v>
      </c>
      <c r="E96" s="91" t="s">
        <v>88</v>
      </c>
      <c r="F96" s="91"/>
      <c r="G96" s="91"/>
    </row>
    <row r="97" spans="2:7" ht="15" customHeight="1" x14ac:dyDescent="0.3">
      <c r="B97" s="92" t="s">
        <v>272</v>
      </c>
      <c r="C97" s="82"/>
      <c r="D97" s="93">
        <v>13397.59</v>
      </c>
      <c r="E97" s="93">
        <v>13397.59</v>
      </c>
    </row>
    <row r="98" spans="2:7" ht="15" customHeight="1" x14ac:dyDescent="0.3">
      <c r="B98" s="92" t="s">
        <v>273</v>
      </c>
      <c r="C98" s="82"/>
      <c r="D98" s="93">
        <v>-13397.59</v>
      </c>
      <c r="E98" s="93">
        <v>-13397.59</v>
      </c>
    </row>
    <row r="99" spans="2:7" ht="15" customHeight="1" x14ac:dyDescent="0.3">
      <c r="B99" s="92" t="s">
        <v>274</v>
      </c>
      <c r="C99" s="82"/>
      <c r="D99" s="93">
        <v>279465.53000000003</v>
      </c>
      <c r="E99" s="93">
        <v>279465.53000000003</v>
      </c>
    </row>
    <row r="100" spans="2:7" ht="15" customHeight="1" x14ac:dyDescent="0.3">
      <c r="B100" s="92" t="s">
        <v>275</v>
      </c>
      <c r="C100" s="82"/>
      <c r="D100" s="93">
        <v>-279440.71000000002</v>
      </c>
      <c r="E100" s="93">
        <v>-279440.71000000002</v>
      </c>
    </row>
    <row r="101" spans="2:7" ht="15" customHeight="1" x14ac:dyDescent="0.3">
      <c r="B101" s="92" t="s">
        <v>276</v>
      </c>
      <c r="C101" s="82"/>
      <c r="D101" s="93">
        <v>24.82</v>
      </c>
      <c r="E101" s="93">
        <v>24.82</v>
      </c>
    </row>
    <row r="102" spans="2:7" ht="15" customHeight="1" x14ac:dyDescent="0.3">
      <c r="B102" s="92" t="s">
        <v>277</v>
      </c>
      <c r="C102" s="82"/>
      <c r="D102" s="93">
        <v>24.82</v>
      </c>
      <c r="E102" s="93">
        <v>24.82</v>
      </c>
    </row>
    <row r="103" spans="2:7" ht="15" customHeight="1" x14ac:dyDescent="0.3">
      <c r="B103" s="92" t="s">
        <v>278</v>
      </c>
      <c r="C103" s="82"/>
      <c r="D103" s="93">
        <v>95.23</v>
      </c>
      <c r="E103" s="93">
        <v>95.23</v>
      </c>
    </row>
    <row r="104" spans="2:7" ht="15" customHeight="1" x14ac:dyDescent="0.3">
      <c r="B104" s="92" t="s">
        <v>279</v>
      </c>
      <c r="C104" s="82"/>
      <c r="D104" s="93">
        <v>5.3</v>
      </c>
      <c r="E104" s="93">
        <v>4.8</v>
      </c>
    </row>
    <row r="105" spans="2:7" ht="15" customHeight="1" x14ac:dyDescent="0.3">
      <c r="B105" s="94" t="s">
        <v>280</v>
      </c>
      <c r="C105" s="87"/>
      <c r="D105" s="95">
        <v>125.34</v>
      </c>
      <c r="E105" s="95">
        <v>124.84</v>
      </c>
    </row>
    <row r="106" spans="2:7" ht="49.95" customHeight="1" x14ac:dyDescent="0.3">
      <c r="B106" s="138" t="s">
        <v>281</v>
      </c>
      <c r="C106" s="112"/>
      <c r="D106" s="112"/>
      <c r="E106" s="112"/>
      <c r="F106" s="112"/>
      <c r="G106" s="112"/>
    </row>
    <row r="107" spans="2:7" ht="6" customHeight="1" x14ac:dyDescent="0.3"/>
    <row r="108" spans="2:7" ht="18" customHeight="1" x14ac:dyDescent="0.3">
      <c r="B108" s="140" t="s">
        <v>282</v>
      </c>
      <c r="C108" s="112"/>
      <c r="D108" s="112"/>
      <c r="E108" s="112"/>
      <c r="F108" s="112"/>
      <c r="G108" s="112"/>
    </row>
    <row r="109" spans="2:7" ht="30" customHeight="1" x14ac:dyDescent="0.3">
      <c r="B109" s="91" t="s">
        <v>3</v>
      </c>
      <c r="C109" s="91" t="s">
        <v>198</v>
      </c>
      <c r="D109" s="91" t="s">
        <v>87</v>
      </c>
      <c r="E109" s="91" t="s">
        <v>88</v>
      </c>
      <c r="F109" s="91"/>
      <c r="G109" s="91"/>
    </row>
    <row r="110" spans="2:7" ht="15" customHeight="1" x14ac:dyDescent="0.3">
      <c r="B110" s="92" t="s">
        <v>283</v>
      </c>
      <c r="C110" s="82"/>
      <c r="D110" s="82"/>
      <c r="E110" s="82"/>
    </row>
    <row r="111" spans="2:7" ht="15" customHeight="1" x14ac:dyDescent="0.3">
      <c r="B111" s="92" t="s">
        <v>284</v>
      </c>
      <c r="C111" s="82"/>
      <c r="D111" s="93">
        <v>23.06</v>
      </c>
      <c r="E111" s="93">
        <v>10.63</v>
      </c>
    </row>
    <row r="112" spans="2:7" ht="15" customHeight="1" x14ac:dyDescent="0.3">
      <c r="B112" s="94" t="s">
        <v>285</v>
      </c>
      <c r="C112" s="87"/>
      <c r="D112" s="95">
        <v>23.06</v>
      </c>
      <c r="E112" s="95">
        <v>10.63</v>
      </c>
    </row>
    <row r="113" spans="2:7" ht="30" customHeight="1" x14ac:dyDescent="0.3">
      <c r="B113" s="138" t="s">
        <v>286</v>
      </c>
      <c r="C113" s="112"/>
      <c r="D113" s="112"/>
      <c r="E113" s="112"/>
      <c r="F113" s="112"/>
      <c r="G113" s="112"/>
    </row>
    <row r="114" spans="2:7" ht="6" customHeight="1" x14ac:dyDescent="0.3"/>
    <row r="115" spans="2:7" ht="18" customHeight="1" x14ac:dyDescent="0.3">
      <c r="B115" s="140" t="s">
        <v>287</v>
      </c>
      <c r="C115" s="112"/>
      <c r="D115" s="112"/>
      <c r="E115" s="112"/>
      <c r="F115" s="112"/>
      <c r="G115" s="112"/>
    </row>
    <row r="116" spans="2:7" ht="30" customHeight="1" x14ac:dyDescent="0.3">
      <c r="B116" s="91" t="s">
        <v>3</v>
      </c>
      <c r="C116" s="91" t="s">
        <v>198</v>
      </c>
      <c r="D116" s="91" t="s">
        <v>87</v>
      </c>
      <c r="E116" s="91" t="s">
        <v>88</v>
      </c>
      <c r="F116" s="91"/>
      <c r="G116" s="91"/>
    </row>
    <row r="117" spans="2:7" ht="15" customHeight="1" x14ac:dyDescent="0.3">
      <c r="B117" s="139" t="s">
        <v>288</v>
      </c>
      <c r="C117" s="112"/>
      <c r="D117" s="112"/>
      <c r="E117" s="112"/>
      <c r="F117" s="112"/>
      <c r="G117" s="112"/>
    </row>
    <row r="118" spans="2:7" ht="15" customHeight="1" x14ac:dyDescent="0.3">
      <c r="B118" s="92" t="s">
        <v>289</v>
      </c>
      <c r="C118" s="82"/>
      <c r="D118" s="93">
        <v>1000000</v>
      </c>
      <c r="E118" s="93">
        <v>1000000</v>
      </c>
    </row>
    <row r="119" spans="2:7" ht="15" customHeight="1" x14ac:dyDescent="0.3">
      <c r="B119" s="139" t="s">
        <v>290</v>
      </c>
      <c r="C119" s="112"/>
      <c r="D119" s="112"/>
      <c r="E119" s="112"/>
      <c r="F119" s="112"/>
      <c r="G119" s="112"/>
    </row>
    <row r="120" spans="2:7" ht="15" customHeight="1" x14ac:dyDescent="0.3">
      <c r="B120" s="92" t="s">
        <v>291</v>
      </c>
      <c r="C120" s="82"/>
      <c r="D120" s="93">
        <v>47400.4</v>
      </c>
      <c r="E120" s="93">
        <v>47400.4</v>
      </c>
    </row>
    <row r="121" spans="2:7" ht="15" customHeight="1" x14ac:dyDescent="0.3">
      <c r="B121" s="94" t="s">
        <v>292</v>
      </c>
      <c r="C121" s="87"/>
      <c r="D121" s="95">
        <v>47400.4</v>
      </c>
      <c r="E121" s="95">
        <v>47400.4</v>
      </c>
    </row>
    <row r="122" spans="2:7" ht="15" customHeight="1" x14ac:dyDescent="0.3">
      <c r="B122" s="139" t="s">
        <v>293</v>
      </c>
      <c r="C122" s="112"/>
      <c r="D122" s="112"/>
      <c r="E122" s="112"/>
      <c r="F122" s="112"/>
      <c r="G122" s="112"/>
    </row>
    <row r="123" spans="2:7" ht="30" customHeight="1" x14ac:dyDescent="0.3">
      <c r="B123" s="91" t="s">
        <v>294</v>
      </c>
      <c r="C123" s="91"/>
      <c r="D123" s="91" t="s">
        <v>295</v>
      </c>
      <c r="E123" s="91" t="s">
        <v>296</v>
      </c>
      <c r="F123" s="91"/>
      <c r="G123" s="91"/>
    </row>
    <row r="124" spans="2:7" ht="15" customHeight="1" x14ac:dyDescent="0.3">
      <c r="B124" s="96" t="s">
        <v>297</v>
      </c>
      <c r="D124" s="97" t="s">
        <v>298</v>
      </c>
      <c r="E124" s="97" t="s">
        <v>298</v>
      </c>
    </row>
    <row r="125" spans="2:7" ht="15" customHeight="1" x14ac:dyDescent="0.3">
      <c r="B125" s="96" t="s">
        <v>299</v>
      </c>
      <c r="D125" s="97" t="s">
        <v>300</v>
      </c>
      <c r="E125" s="97" t="s">
        <v>300</v>
      </c>
    </row>
    <row r="126" spans="2:7" ht="15" customHeight="1" x14ac:dyDescent="0.3">
      <c r="B126" s="96" t="s">
        <v>301</v>
      </c>
      <c r="D126" s="97" t="s">
        <v>302</v>
      </c>
      <c r="E126" s="97" t="s">
        <v>302</v>
      </c>
    </row>
    <row r="127" spans="2:7" ht="15" customHeight="1" x14ac:dyDescent="0.3">
      <c r="B127" s="96" t="s">
        <v>303</v>
      </c>
      <c r="D127" s="97" t="s">
        <v>302</v>
      </c>
      <c r="E127" s="97" t="s">
        <v>302</v>
      </c>
    </row>
    <row r="128" spans="2:7" ht="15" customHeight="1" x14ac:dyDescent="0.3">
      <c r="B128" s="96" t="s">
        <v>304</v>
      </c>
      <c r="D128" s="97" t="s">
        <v>305</v>
      </c>
      <c r="E128" s="97" t="s">
        <v>305</v>
      </c>
    </row>
    <row r="129" spans="2:7" ht="15" customHeight="1" x14ac:dyDescent="0.3">
      <c r="B129" s="96" t="s">
        <v>306</v>
      </c>
      <c r="D129" s="97" t="s">
        <v>307</v>
      </c>
      <c r="E129" s="97" t="s">
        <v>307</v>
      </c>
    </row>
    <row r="130" spans="2:7" ht="15" customHeight="1" x14ac:dyDescent="0.3">
      <c r="B130" s="96" t="s">
        <v>308</v>
      </c>
      <c r="D130" s="97" t="s">
        <v>309</v>
      </c>
      <c r="E130" s="97" t="s">
        <v>309</v>
      </c>
    </row>
    <row r="131" spans="2:7" ht="30" customHeight="1" x14ac:dyDescent="0.3">
      <c r="B131" s="138" t="s">
        <v>310</v>
      </c>
      <c r="C131" s="112"/>
      <c r="D131" s="112"/>
      <c r="E131" s="112"/>
      <c r="F131" s="112"/>
      <c r="G131" s="112"/>
    </row>
    <row r="132" spans="2:7" ht="6" customHeight="1" x14ac:dyDescent="0.3"/>
    <row r="133" spans="2:7" ht="18" customHeight="1" x14ac:dyDescent="0.3">
      <c r="B133" s="140" t="s">
        <v>311</v>
      </c>
      <c r="C133" s="112"/>
      <c r="D133" s="112"/>
      <c r="E133" s="112"/>
      <c r="F133" s="112"/>
      <c r="G133" s="112"/>
    </row>
    <row r="134" spans="2:7" ht="30" customHeight="1" x14ac:dyDescent="0.3">
      <c r="B134" s="91" t="s">
        <v>3</v>
      </c>
      <c r="C134" s="91" t="s">
        <v>198</v>
      </c>
      <c r="D134" s="91" t="s">
        <v>87</v>
      </c>
      <c r="E134" s="91" t="s">
        <v>88</v>
      </c>
      <c r="F134" s="91"/>
      <c r="G134" s="91"/>
    </row>
    <row r="135" spans="2:7" ht="15" customHeight="1" x14ac:dyDescent="0.3">
      <c r="B135" s="92" t="s">
        <v>312</v>
      </c>
      <c r="C135" s="82"/>
      <c r="D135" s="93">
        <v>520963.48</v>
      </c>
      <c r="E135" s="93">
        <v>520963.48</v>
      </c>
    </row>
    <row r="136" spans="2:7" ht="15" customHeight="1" x14ac:dyDescent="0.3">
      <c r="B136" s="92" t="s">
        <v>313</v>
      </c>
      <c r="C136" s="82"/>
      <c r="D136" s="93">
        <v>537809.44999999995</v>
      </c>
      <c r="E136" s="93">
        <v>537809.44999999995</v>
      </c>
    </row>
    <row r="137" spans="2:7" ht="15" customHeight="1" x14ac:dyDescent="0.3">
      <c r="B137" s="92" t="s">
        <v>314</v>
      </c>
      <c r="C137" s="82"/>
      <c r="D137" s="93">
        <v>-1335665.7</v>
      </c>
      <c r="E137" s="93">
        <v>-1334634.04</v>
      </c>
    </row>
    <row r="138" spans="2:7" ht="15" customHeight="1" x14ac:dyDescent="0.3">
      <c r="B138" s="92" t="s">
        <v>315</v>
      </c>
      <c r="C138" s="82"/>
      <c r="D138" s="93">
        <v>-1.1299999999999999</v>
      </c>
      <c r="E138" s="93">
        <v>-1031.6500000000001</v>
      </c>
    </row>
    <row r="139" spans="2:7" ht="15" customHeight="1" x14ac:dyDescent="0.3">
      <c r="B139" s="92" t="s">
        <v>316</v>
      </c>
      <c r="C139" s="82"/>
      <c r="D139" s="93">
        <v>-1335666.83</v>
      </c>
      <c r="E139" s="93">
        <v>-1335665.7</v>
      </c>
    </row>
    <row r="140" spans="2:7" ht="15" customHeight="1" x14ac:dyDescent="0.3">
      <c r="B140" s="94" t="s">
        <v>317</v>
      </c>
      <c r="C140" s="87"/>
      <c r="D140" s="95">
        <v>-276893.89</v>
      </c>
      <c r="E140" s="95">
        <v>-276892.76</v>
      </c>
    </row>
    <row r="141" spans="2:7" ht="40.049999999999997" customHeight="1" x14ac:dyDescent="0.3">
      <c r="B141" s="138" t="s">
        <v>318</v>
      </c>
      <c r="C141" s="112"/>
      <c r="D141" s="112"/>
      <c r="E141" s="112"/>
      <c r="F141" s="112"/>
      <c r="G141" s="112"/>
    </row>
    <row r="142" spans="2:7" ht="6" customHeight="1" x14ac:dyDescent="0.3"/>
    <row r="143" spans="2:7" ht="18" customHeight="1" x14ac:dyDescent="0.3">
      <c r="B143" s="140" t="s">
        <v>319</v>
      </c>
      <c r="C143" s="112"/>
      <c r="D143" s="112"/>
      <c r="E143" s="112"/>
      <c r="F143" s="112"/>
      <c r="G143" s="112"/>
    </row>
    <row r="144" spans="2:7" ht="30" customHeight="1" x14ac:dyDescent="0.3">
      <c r="B144" s="91" t="s">
        <v>3</v>
      </c>
      <c r="C144" s="91" t="s">
        <v>198</v>
      </c>
      <c r="D144" s="91" t="s">
        <v>87</v>
      </c>
      <c r="E144" s="91" t="s">
        <v>88</v>
      </c>
      <c r="F144" s="91"/>
      <c r="G144" s="91"/>
    </row>
    <row r="145" spans="2:7" ht="15" customHeight="1" x14ac:dyDescent="0.3">
      <c r="B145" s="92" t="s">
        <v>320</v>
      </c>
      <c r="C145" s="82"/>
      <c r="D145" s="93">
        <v>136754.74</v>
      </c>
      <c r="E145" s="93">
        <v>136754.74</v>
      </c>
    </row>
    <row r="146" spans="2:7" ht="15" customHeight="1" x14ac:dyDescent="0.3">
      <c r="B146" s="92" t="s">
        <v>321</v>
      </c>
      <c r="C146" s="82"/>
      <c r="D146" s="93">
        <v>652</v>
      </c>
      <c r="E146" s="93">
        <v>652</v>
      </c>
    </row>
    <row r="147" spans="2:7" ht="15" customHeight="1" x14ac:dyDescent="0.3">
      <c r="B147" s="92" t="s">
        <v>322</v>
      </c>
      <c r="C147" s="82"/>
      <c r="D147" s="93">
        <v>17215.990000000002</v>
      </c>
      <c r="E147" s="93">
        <v>17215.990000000002</v>
      </c>
    </row>
    <row r="148" spans="2:7" ht="15" customHeight="1" x14ac:dyDescent="0.3">
      <c r="B148" s="92" t="s">
        <v>323</v>
      </c>
      <c r="C148" s="82"/>
      <c r="D148" s="93">
        <v>93741</v>
      </c>
      <c r="E148" s="93">
        <v>93741</v>
      </c>
    </row>
    <row r="149" spans="2:7" ht="15" customHeight="1" x14ac:dyDescent="0.3">
      <c r="B149" s="94" t="s">
        <v>324</v>
      </c>
      <c r="C149" s="87"/>
      <c r="D149" s="95">
        <v>248363.72</v>
      </c>
      <c r="E149" s="95">
        <v>248363.72</v>
      </c>
    </row>
    <row r="150" spans="2:7" ht="60" customHeight="1" x14ac:dyDescent="0.3">
      <c r="B150" s="138" t="s">
        <v>325</v>
      </c>
      <c r="C150" s="112"/>
      <c r="D150" s="112"/>
      <c r="E150" s="112"/>
      <c r="F150" s="112"/>
      <c r="G150" s="112"/>
    </row>
    <row r="151" spans="2:7" ht="6" customHeight="1" x14ac:dyDescent="0.3"/>
    <row r="152" spans="2:7" ht="18" customHeight="1" x14ac:dyDescent="0.3">
      <c r="B152" s="140" t="s">
        <v>326</v>
      </c>
      <c r="C152" s="112"/>
      <c r="D152" s="112"/>
      <c r="E152" s="112"/>
      <c r="F152" s="112"/>
      <c r="G152" s="112"/>
    </row>
    <row r="153" spans="2:7" ht="30" customHeight="1" x14ac:dyDescent="0.3">
      <c r="B153" s="91" t="s">
        <v>3</v>
      </c>
      <c r="C153" s="91" t="s">
        <v>198</v>
      </c>
      <c r="D153" s="91" t="s">
        <v>87</v>
      </c>
      <c r="E153" s="91" t="s">
        <v>88</v>
      </c>
      <c r="F153" s="91"/>
      <c r="G153" s="91"/>
    </row>
    <row r="154" spans="2:7" ht="15" customHeight="1" x14ac:dyDescent="0.3">
      <c r="B154" s="92" t="s">
        <v>327</v>
      </c>
      <c r="C154" s="82"/>
      <c r="D154" s="82"/>
      <c r="E154" s="82"/>
    </row>
    <row r="155" spans="2:7" ht="15" customHeight="1" x14ac:dyDescent="0.3">
      <c r="B155" s="92" t="s">
        <v>328</v>
      </c>
      <c r="C155" s="82"/>
      <c r="D155" s="93">
        <v>41840.14</v>
      </c>
      <c r="E155" s="93">
        <v>41698.89</v>
      </c>
    </row>
    <row r="156" spans="2:7" ht="15" customHeight="1" x14ac:dyDescent="0.3">
      <c r="B156" s="94" t="s">
        <v>329</v>
      </c>
      <c r="C156" s="87"/>
      <c r="D156" s="95">
        <v>41840.14</v>
      </c>
      <c r="E156" s="95">
        <v>41698.89</v>
      </c>
    </row>
    <row r="157" spans="2:7" ht="49.95" customHeight="1" x14ac:dyDescent="0.3">
      <c r="B157" s="138" t="s">
        <v>330</v>
      </c>
      <c r="C157" s="112"/>
      <c r="D157" s="112"/>
      <c r="E157" s="112"/>
      <c r="F157" s="112"/>
      <c r="G157" s="112"/>
    </row>
    <row r="158" spans="2:7" ht="6" customHeight="1" x14ac:dyDescent="0.3"/>
    <row r="159" spans="2:7" ht="18" customHeight="1" x14ac:dyDescent="0.3">
      <c r="B159" s="140" t="s">
        <v>331</v>
      </c>
      <c r="C159" s="112"/>
      <c r="D159" s="112"/>
      <c r="E159" s="112"/>
      <c r="F159" s="112"/>
      <c r="G159" s="112"/>
    </row>
    <row r="160" spans="2:7" ht="30" customHeight="1" x14ac:dyDescent="0.3">
      <c r="B160" s="91" t="s">
        <v>3</v>
      </c>
      <c r="C160" s="91" t="s">
        <v>198</v>
      </c>
      <c r="D160" s="91" t="s">
        <v>87</v>
      </c>
      <c r="E160" s="91" t="s">
        <v>88</v>
      </c>
      <c r="F160" s="91"/>
      <c r="G160" s="91"/>
    </row>
    <row r="161" spans="2:7" ht="15" customHeight="1" x14ac:dyDescent="0.3">
      <c r="B161" s="92" t="s">
        <v>332</v>
      </c>
      <c r="C161" s="82"/>
      <c r="D161" s="93">
        <v>85417.98</v>
      </c>
      <c r="E161" s="93">
        <v>85417.98</v>
      </c>
    </row>
    <row r="162" spans="2:7" ht="15" customHeight="1" x14ac:dyDescent="0.3">
      <c r="B162" s="92" t="s">
        <v>333</v>
      </c>
      <c r="C162" s="82"/>
      <c r="D162" s="93">
        <v>33958.269999999997</v>
      </c>
      <c r="E162" s="93">
        <v>33958.269999999997</v>
      </c>
    </row>
    <row r="163" spans="2:7" ht="15" customHeight="1" x14ac:dyDescent="0.3">
      <c r="B163" s="92" t="s">
        <v>334</v>
      </c>
      <c r="C163" s="82"/>
      <c r="D163" s="93">
        <v>3619.45</v>
      </c>
      <c r="E163" s="93">
        <v>3919.45</v>
      </c>
    </row>
    <row r="164" spans="2:7" ht="15" customHeight="1" x14ac:dyDescent="0.3">
      <c r="B164" s="92" t="s">
        <v>335</v>
      </c>
      <c r="C164" s="82"/>
      <c r="D164" s="93">
        <v>2527.91</v>
      </c>
      <c r="E164" s="93">
        <v>2498.92</v>
      </c>
    </row>
    <row r="165" spans="2:7" ht="15" customHeight="1" x14ac:dyDescent="0.3">
      <c r="B165" s="92" t="s">
        <v>279</v>
      </c>
      <c r="C165" s="82"/>
      <c r="D165" s="93">
        <v>335.2</v>
      </c>
      <c r="E165" s="93">
        <v>335.2</v>
      </c>
    </row>
    <row r="166" spans="2:7" ht="15" customHeight="1" x14ac:dyDescent="0.3">
      <c r="B166" s="94" t="s">
        <v>336</v>
      </c>
      <c r="C166" s="87"/>
      <c r="D166" s="95">
        <v>125858.81</v>
      </c>
      <c r="E166" s="95">
        <v>126129.82</v>
      </c>
    </row>
    <row r="167" spans="2:7" ht="30" customHeight="1" x14ac:dyDescent="0.3">
      <c r="B167" s="138" t="s">
        <v>337</v>
      </c>
      <c r="C167" s="112"/>
      <c r="D167" s="112"/>
      <c r="E167" s="112"/>
      <c r="F167" s="112"/>
      <c r="G167" s="112"/>
    </row>
    <row r="168" spans="2:7" ht="6" customHeight="1" x14ac:dyDescent="0.3"/>
    <row r="169" spans="2:7" ht="18" customHeight="1" x14ac:dyDescent="0.3">
      <c r="B169" s="140" t="s">
        <v>338</v>
      </c>
      <c r="C169" s="112"/>
      <c r="D169" s="112"/>
      <c r="E169" s="112"/>
      <c r="F169" s="112"/>
      <c r="G169" s="112"/>
    </row>
    <row r="170" spans="2:7" ht="30" customHeight="1" x14ac:dyDescent="0.3">
      <c r="B170" s="91" t="s">
        <v>3</v>
      </c>
      <c r="C170" s="91" t="s">
        <v>198</v>
      </c>
      <c r="D170" s="91" t="s">
        <v>87</v>
      </c>
      <c r="E170" s="91" t="s">
        <v>88</v>
      </c>
      <c r="F170" s="91"/>
      <c r="G170" s="91"/>
    </row>
    <row r="171" spans="2:7" ht="15" customHeight="1" x14ac:dyDescent="0.3">
      <c r="B171" s="92" t="s">
        <v>339</v>
      </c>
      <c r="C171" s="82"/>
      <c r="D171" s="93">
        <v>190052.88</v>
      </c>
      <c r="E171" s="93">
        <v>191712.92</v>
      </c>
    </row>
    <row r="172" spans="2:7" ht="15" customHeight="1" x14ac:dyDescent="0.3">
      <c r="B172" s="92" t="s">
        <v>340</v>
      </c>
      <c r="C172" s="82"/>
      <c r="D172" s="93">
        <v>2377.59</v>
      </c>
      <c r="E172" s="93">
        <v>2357.7800000000002</v>
      </c>
    </row>
    <row r="173" spans="2:7" ht="15" customHeight="1" x14ac:dyDescent="0.3">
      <c r="B173" s="92" t="s">
        <v>341</v>
      </c>
      <c r="C173" s="82"/>
      <c r="D173" s="93">
        <v>250.56</v>
      </c>
      <c r="E173" s="93">
        <v>250.56</v>
      </c>
    </row>
    <row r="174" spans="2:7" ht="15" customHeight="1" x14ac:dyDescent="0.3">
      <c r="B174" s="92" t="s">
        <v>283</v>
      </c>
      <c r="C174" s="82"/>
      <c r="D174" s="93">
        <v>17417.009999999998</v>
      </c>
      <c r="E174" s="93">
        <v>17417.009999999998</v>
      </c>
    </row>
    <row r="175" spans="2:7" ht="15" customHeight="1" x14ac:dyDescent="0.3">
      <c r="B175" s="92" t="s">
        <v>284</v>
      </c>
      <c r="C175" s="82"/>
      <c r="D175" s="93">
        <v>-2855.33</v>
      </c>
      <c r="E175" s="93">
        <v>-2844.7</v>
      </c>
    </row>
    <row r="176" spans="2:7" ht="15" customHeight="1" x14ac:dyDescent="0.3">
      <c r="B176" s="94" t="s">
        <v>342</v>
      </c>
      <c r="C176" s="87"/>
      <c r="D176" s="95">
        <v>207242.71</v>
      </c>
      <c r="E176" s="95">
        <v>208893.57</v>
      </c>
    </row>
    <row r="177" spans="2:7" ht="79.95" customHeight="1" x14ac:dyDescent="0.3">
      <c r="B177" s="138" t="s">
        <v>343</v>
      </c>
      <c r="C177" s="112"/>
      <c r="D177" s="112"/>
      <c r="E177" s="112"/>
      <c r="F177" s="112"/>
      <c r="G177" s="112"/>
    </row>
    <row r="178" spans="2:7" ht="6" customHeight="1" x14ac:dyDescent="0.3"/>
    <row r="179" spans="2:7" ht="18" customHeight="1" x14ac:dyDescent="0.3">
      <c r="B179" s="140" t="s">
        <v>344</v>
      </c>
      <c r="C179" s="112"/>
      <c r="D179" s="112"/>
      <c r="E179" s="112"/>
      <c r="F179" s="112"/>
      <c r="G179" s="112"/>
    </row>
    <row r="180" spans="2:7" ht="30" customHeight="1" x14ac:dyDescent="0.3">
      <c r="B180" s="91" t="s">
        <v>3</v>
      </c>
      <c r="C180" s="91" t="s">
        <v>198</v>
      </c>
      <c r="D180" s="91" t="s">
        <v>87</v>
      </c>
      <c r="E180" s="91" t="s">
        <v>88</v>
      </c>
      <c r="F180" s="91"/>
      <c r="G180" s="91"/>
    </row>
    <row r="181" spans="2:7" ht="15" customHeight="1" x14ac:dyDescent="0.3">
      <c r="B181" s="92" t="s">
        <v>345</v>
      </c>
      <c r="C181" s="82"/>
      <c r="D181" s="93">
        <v>742.66</v>
      </c>
      <c r="E181" s="93">
        <v>742.66</v>
      </c>
    </row>
    <row r="182" spans="2:7" ht="15" customHeight="1" x14ac:dyDescent="0.3">
      <c r="B182" s="92" t="s">
        <v>346</v>
      </c>
      <c r="C182" s="82"/>
      <c r="D182" s="93">
        <v>201.84</v>
      </c>
      <c r="E182" s="93">
        <v>201.84</v>
      </c>
    </row>
    <row r="183" spans="2:7" ht="15" customHeight="1" x14ac:dyDescent="0.3">
      <c r="B183" s="94" t="s">
        <v>347</v>
      </c>
      <c r="C183" s="87"/>
      <c r="D183" s="95">
        <v>944.5</v>
      </c>
      <c r="E183" s="95">
        <v>944.5</v>
      </c>
    </row>
    <row r="184" spans="2:7" ht="30" customHeight="1" x14ac:dyDescent="0.3">
      <c r="B184" s="138" t="s">
        <v>348</v>
      </c>
      <c r="C184" s="112"/>
      <c r="D184" s="112"/>
      <c r="E184" s="112"/>
      <c r="F184" s="112"/>
      <c r="G184" s="112"/>
    </row>
    <row r="185" spans="2:7" ht="6" customHeight="1" x14ac:dyDescent="0.3"/>
    <row r="186" spans="2:7" ht="18" customHeight="1" x14ac:dyDescent="0.3">
      <c r="B186" s="140" t="s">
        <v>349</v>
      </c>
      <c r="C186" s="112"/>
      <c r="D186" s="112"/>
      <c r="E186" s="112"/>
      <c r="F186" s="112"/>
      <c r="G186" s="112"/>
    </row>
    <row r="187" spans="2:7" ht="30" customHeight="1" x14ac:dyDescent="0.3">
      <c r="B187" s="91" t="s">
        <v>3</v>
      </c>
      <c r="C187" s="91" t="s">
        <v>198</v>
      </c>
      <c r="D187" s="91" t="s">
        <v>350</v>
      </c>
      <c r="E187" s="91" t="s">
        <v>351</v>
      </c>
      <c r="F187" s="91"/>
      <c r="G187" s="91"/>
    </row>
    <row r="188" spans="2:7" ht="15" customHeight="1" x14ac:dyDescent="0.3">
      <c r="B188" s="139" t="s">
        <v>352</v>
      </c>
      <c r="C188" s="112"/>
      <c r="D188" s="112"/>
      <c r="E188" s="112"/>
      <c r="F188" s="112"/>
      <c r="G188" s="112"/>
    </row>
    <row r="189" spans="2:7" ht="15" customHeight="1" x14ac:dyDescent="0.3">
      <c r="B189" s="92" t="s">
        <v>353</v>
      </c>
      <c r="C189" s="82"/>
      <c r="D189" s="93">
        <v>162.21</v>
      </c>
      <c r="E189" s="93">
        <v>161.46</v>
      </c>
    </row>
    <row r="190" spans="2:7" ht="15" customHeight="1" x14ac:dyDescent="0.3">
      <c r="B190" s="92" t="s">
        <v>354</v>
      </c>
      <c r="C190" s="82"/>
      <c r="D190" s="93">
        <v>9.4</v>
      </c>
      <c r="E190" s="93">
        <v>43.13</v>
      </c>
    </row>
    <row r="191" spans="2:7" ht="15" customHeight="1" x14ac:dyDescent="0.3">
      <c r="B191" s="92" t="s">
        <v>355</v>
      </c>
      <c r="C191" s="82"/>
      <c r="D191" s="93">
        <v>3135</v>
      </c>
      <c r="E191" s="82"/>
    </row>
    <row r="192" spans="2:7" ht="15" customHeight="1" x14ac:dyDescent="0.3">
      <c r="B192" s="92" t="s">
        <v>356</v>
      </c>
      <c r="C192" s="82"/>
      <c r="D192" s="93">
        <v>89</v>
      </c>
      <c r="E192" s="82"/>
    </row>
    <row r="193" spans="2:7" ht="15" customHeight="1" x14ac:dyDescent="0.3">
      <c r="B193" s="94" t="s">
        <v>357</v>
      </c>
      <c r="C193" s="87"/>
      <c r="D193" s="95">
        <v>3395.61</v>
      </c>
      <c r="E193" s="95">
        <v>204.59</v>
      </c>
    </row>
    <row r="194" spans="2:7" ht="6" customHeight="1" x14ac:dyDescent="0.3"/>
    <row r="195" spans="2:7" ht="18" customHeight="1" x14ac:dyDescent="0.3">
      <c r="B195" s="140" t="s">
        <v>358</v>
      </c>
      <c r="C195" s="112"/>
      <c r="D195" s="112"/>
      <c r="E195" s="112"/>
      <c r="F195" s="112"/>
      <c r="G195" s="112"/>
    </row>
    <row r="196" spans="2:7" ht="30" customHeight="1" x14ac:dyDescent="0.3">
      <c r="B196" s="91" t="s">
        <v>3</v>
      </c>
      <c r="C196" s="91" t="s">
        <v>198</v>
      </c>
      <c r="D196" s="91" t="s">
        <v>350</v>
      </c>
      <c r="E196" s="91" t="s">
        <v>351</v>
      </c>
      <c r="F196" s="91"/>
      <c r="G196" s="91"/>
    </row>
    <row r="197" spans="2:7" ht="15" customHeight="1" x14ac:dyDescent="0.3">
      <c r="B197" s="92" t="s">
        <v>359</v>
      </c>
      <c r="C197" s="82"/>
      <c r="D197" s="93">
        <v>66.53</v>
      </c>
      <c r="E197" s="93">
        <v>24.41</v>
      </c>
    </row>
    <row r="198" spans="2:7" ht="15" customHeight="1" x14ac:dyDescent="0.3">
      <c r="B198" s="92" t="s">
        <v>360</v>
      </c>
      <c r="C198" s="82"/>
      <c r="D198" s="93">
        <v>39.340000000000003</v>
      </c>
      <c r="E198" s="82"/>
    </row>
    <row r="199" spans="2:7" ht="15" customHeight="1" x14ac:dyDescent="0.3">
      <c r="B199" s="92" t="s">
        <v>361</v>
      </c>
      <c r="C199" s="82"/>
      <c r="D199" s="93">
        <v>90.51</v>
      </c>
      <c r="E199" s="93">
        <v>91.31</v>
      </c>
    </row>
    <row r="200" spans="2:7" ht="15" customHeight="1" x14ac:dyDescent="0.3">
      <c r="B200" s="94" t="s">
        <v>362</v>
      </c>
      <c r="C200" s="87"/>
      <c r="D200" s="95">
        <v>196.38</v>
      </c>
      <c r="E200" s="95">
        <v>115.72</v>
      </c>
    </row>
    <row r="201" spans="2:7" ht="6" customHeight="1" x14ac:dyDescent="0.3"/>
    <row r="202" spans="2:7" ht="18" customHeight="1" x14ac:dyDescent="0.3">
      <c r="B202" s="140" t="s">
        <v>363</v>
      </c>
      <c r="C202" s="112"/>
      <c r="D202" s="112"/>
      <c r="E202" s="112"/>
      <c r="F202" s="112"/>
      <c r="G202" s="112"/>
    </row>
    <row r="203" spans="2:7" ht="30" customHeight="1" x14ac:dyDescent="0.3">
      <c r="B203" s="91" t="s">
        <v>3</v>
      </c>
      <c r="C203" s="91" t="s">
        <v>198</v>
      </c>
      <c r="D203" s="91" t="s">
        <v>350</v>
      </c>
      <c r="E203" s="91" t="s">
        <v>351</v>
      </c>
      <c r="F203" s="91"/>
      <c r="G203" s="91"/>
    </row>
    <row r="204" spans="2:7" ht="15" customHeight="1" x14ac:dyDescent="0.3">
      <c r="B204" s="92" t="s">
        <v>364</v>
      </c>
      <c r="C204" s="82"/>
      <c r="D204" s="93">
        <v>18630.169999999998</v>
      </c>
      <c r="E204" s="93">
        <v>18630.169999999998</v>
      </c>
    </row>
    <row r="205" spans="2:7" ht="15" customHeight="1" x14ac:dyDescent="0.3">
      <c r="B205" s="92" t="s">
        <v>365</v>
      </c>
      <c r="C205" s="82"/>
      <c r="D205" s="93">
        <v>265113.88</v>
      </c>
      <c r="E205" s="93">
        <v>265113.88</v>
      </c>
    </row>
    <row r="206" spans="2:7" ht="15" customHeight="1" x14ac:dyDescent="0.3">
      <c r="B206" s="92" t="s">
        <v>366</v>
      </c>
      <c r="C206" s="82"/>
      <c r="D206" s="93">
        <v>283744.03999999998</v>
      </c>
      <c r="E206" s="93">
        <v>283744.03999999998</v>
      </c>
    </row>
    <row r="207" spans="2:7" ht="15" customHeight="1" x14ac:dyDescent="0.3">
      <c r="B207" s="92" t="s">
        <v>367</v>
      </c>
      <c r="C207" s="82"/>
      <c r="D207" s="93">
        <v>18630.169999999998</v>
      </c>
      <c r="E207" s="93">
        <v>18630.169999999998</v>
      </c>
    </row>
    <row r="208" spans="2:7" ht="15" customHeight="1" x14ac:dyDescent="0.3">
      <c r="B208" s="92" t="s">
        <v>368</v>
      </c>
      <c r="C208" s="82"/>
      <c r="D208" s="93">
        <v>262838.52</v>
      </c>
      <c r="E208" s="93">
        <v>265113.88</v>
      </c>
    </row>
    <row r="209" spans="2:7" ht="15" customHeight="1" x14ac:dyDescent="0.3">
      <c r="B209" s="92" t="s">
        <v>369</v>
      </c>
      <c r="C209" s="82"/>
      <c r="D209" s="93">
        <v>281468.68</v>
      </c>
      <c r="E209" s="93">
        <v>283744.03999999998</v>
      </c>
    </row>
    <row r="210" spans="2:7" ht="15" customHeight="1" x14ac:dyDescent="0.3">
      <c r="B210" s="94" t="s">
        <v>370</v>
      </c>
      <c r="C210" s="87"/>
      <c r="D210" s="95">
        <v>2275.36</v>
      </c>
      <c r="E210" s="87"/>
    </row>
    <row r="211" spans="2:7" ht="6" customHeight="1" x14ac:dyDescent="0.3"/>
    <row r="212" spans="2:7" ht="18" customHeight="1" x14ac:dyDescent="0.3">
      <c r="B212" s="140" t="s">
        <v>371</v>
      </c>
      <c r="C212" s="112"/>
      <c r="D212" s="112"/>
      <c r="E212" s="112"/>
      <c r="F212" s="112"/>
      <c r="G212" s="112"/>
    </row>
    <row r="213" spans="2:7" ht="30" customHeight="1" x14ac:dyDescent="0.3">
      <c r="B213" s="91" t="s">
        <v>3</v>
      </c>
      <c r="C213" s="91" t="s">
        <v>198</v>
      </c>
      <c r="D213" s="91" t="s">
        <v>350</v>
      </c>
      <c r="E213" s="91" t="s">
        <v>351</v>
      </c>
      <c r="F213" s="91"/>
      <c r="G213" s="91"/>
    </row>
    <row r="214" spans="2:7" ht="15" customHeight="1" x14ac:dyDescent="0.3">
      <c r="B214" s="92" t="s">
        <v>372</v>
      </c>
      <c r="C214" s="82"/>
      <c r="D214" s="93">
        <v>120.55</v>
      </c>
      <c r="E214" s="93">
        <v>189.92</v>
      </c>
    </row>
    <row r="215" spans="2:7" ht="15" customHeight="1" x14ac:dyDescent="0.3">
      <c r="B215" s="92" t="s">
        <v>373</v>
      </c>
      <c r="C215" s="82"/>
      <c r="D215" s="93">
        <v>9.7799999999999994</v>
      </c>
      <c r="E215" s="93">
        <v>15.19</v>
      </c>
    </row>
    <row r="216" spans="2:7" ht="15" customHeight="1" x14ac:dyDescent="0.3">
      <c r="B216" s="92" t="s">
        <v>374</v>
      </c>
      <c r="C216" s="82"/>
      <c r="D216" s="93">
        <v>4.3</v>
      </c>
      <c r="E216" s="93">
        <v>3.99</v>
      </c>
    </row>
    <row r="217" spans="2:7" ht="15" customHeight="1" x14ac:dyDescent="0.3">
      <c r="B217" s="92" t="s">
        <v>375</v>
      </c>
      <c r="C217" s="82"/>
      <c r="D217" s="93">
        <v>11.87</v>
      </c>
      <c r="E217" s="93">
        <v>18.84</v>
      </c>
    </row>
    <row r="218" spans="2:7" ht="15" customHeight="1" x14ac:dyDescent="0.3">
      <c r="B218" s="94" t="s">
        <v>376</v>
      </c>
      <c r="C218" s="87"/>
      <c r="D218" s="95">
        <v>146.5</v>
      </c>
      <c r="E218" s="95">
        <v>227.94</v>
      </c>
    </row>
    <row r="219" spans="2:7" ht="30" customHeight="1" x14ac:dyDescent="0.3">
      <c r="B219" s="138" t="s">
        <v>377</v>
      </c>
      <c r="C219" s="112"/>
      <c r="D219" s="112"/>
      <c r="E219" s="112"/>
      <c r="F219" s="112"/>
      <c r="G219" s="112"/>
    </row>
    <row r="220" spans="2:7" ht="6" customHeight="1" x14ac:dyDescent="0.3"/>
    <row r="221" spans="2:7" ht="18" customHeight="1" x14ac:dyDescent="0.3">
      <c r="B221" s="140" t="s">
        <v>378</v>
      </c>
      <c r="C221" s="112"/>
      <c r="D221" s="112"/>
      <c r="E221" s="112"/>
      <c r="F221" s="112"/>
      <c r="G221" s="112"/>
    </row>
    <row r="222" spans="2:7" ht="30" customHeight="1" x14ac:dyDescent="0.3">
      <c r="B222" s="91" t="s">
        <v>3</v>
      </c>
      <c r="C222" s="91" t="s">
        <v>198</v>
      </c>
      <c r="D222" s="91" t="s">
        <v>350</v>
      </c>
      <c r="E222" s="91" t="s">
        <v>351</v>
      </c>
      <c r="F222" s="91"/>
      <c r="G222" s="91"/>
    </row>
    <row r="223" spans="2:7" ht="15" customHeight="1" x14ac:dyDescent="0.3">
      <c r="B223" s="92" t="s">
        <v>379</v>
      </c>
      <c r="C223" s="82"/>
      <c r="D223" s="93">
        <v>0.5</v>
      </c>
      <c r="E223" s="93">
        <v>1.29</v>
      </c>
    </row>
    <row r="224" spans="2:7" ht="15" customHeight="1" x14ac:dyDescent="0.3">
      <c r="B224" s="92" t="s">
        <v>380</v>
      </c>
      <c r="C224" s="82"/>
      <c r="D224" s="93">
        <v>29.42</v>
      </c>
      <c r="E224" s="93">
        <v>28.45</v>
      </c>
    </row>
    <row r="225" spans="2:5" ht="15" customHeight="1" x14ac:dyDescent="0.3">
      <c r="B225" s="92" t="s">
        <v>381</v>
      </c>
      <c r="C225" s="82"/>
      <c r="D225" s="93">
        <v>0.7</v>
      </c>
      <c r="E225" s="93">
        <v>0.71</v>
      </c>
    </row>
    <row r="226" spans="2:5" ht="15" customHeight="1" x14ac:dyDescent="0.3">
      <c r="B226" s="92" t="s">
        <v>382</v>
      </c>
      <c r="C226" s="82"/>
      <c r="D226" s="93">
        <v>0.01</v>
      </c>
      <c r="E226" s="93">
        <v>0.11</v>
      </c>
    </row>
    <row r="227" spans="2:5" ht="15" customHeight="1" x14ac:dyDescent="0.3">
      <c r="B227" s="92" t="s">
        <v>383</v>
      </c>
      <c r="C227" s="82"/>
      <c r="D227" s="93">
        <v>0.04</v>
      </c>
      <c r="E227" s="93">
        <v>0.11</v>
      </c>
    </row>
    <row r="228" spans="2:5" ht="15" customHeight="1" x14ac:dyDescent="0.3">
      <c r="B228" s="92" t="s">
        <v>384</v>
      </c>
      <c r="C228" s="82"/>
      <c r="D228" s="93">
        <v>36.08</v>
      </c>
      <c r="E228" s="93">
        <v>42.27</v>
      </c>
    </row>
    <row r="229" spans="2:5" ht="15" customHeight="1" x14ac:dyDescent="0.3">
      <c r="B229" s="92" t="s">
        <v>385</v>
      </c>
      <c r="C229" s="82"/>
      <c r="D229" s="93">
        <v>297.24</v>
      </c>
      <c r="E229" s="93">
        <v>310.66000000000003</v>
      </c>
    </row>
    <row r="230" spans="2:5" ht="15" customHeight="1" x14ac:dyDescent="0.3">
      <c r="B230" s="92" t="s">
        <v>386</v>
      </c>
      <c r="C230" s="82"/>
      <c r="D230" s="93">
        <v>47.5</v>
      </c>
      <c r="E230" s="82"/>
    </row>
    <row r="231" spans="2:5" ht="15" customHeight="1" x14ac:dyDescent="0.3">
      <c r="B231" s="92" t="s">
        <v>387</v>
      </c>
      <c r="C231" s="82"/>
      <c r="D231" s="93">
        <v>0.03</v>
      </c>
      <c r="E231" s="93">
        <v>0.02</v>
      </c>
    </row>
    <row r="232" spans="2:5" ht="15" customHeight="1" x14ac:dyDescent="0.3">
      <c r="B232" s="92" t="s">
        <v>388</v>
      </c>
      <c r="C232" s="82"/>
      <c r="D232" s="93">
        <v>0.85</v>
      </c>
      <c r="E232" s="93">
        <v>0.84</v>
      </c>
    </row>
    <row r="233" spans="2:5" ht="15" customHeight="1" x14ac:dyDescent="0.3">
      <c r="B233" s="92" t="s">
        <v>389</v>
      </c>
      <c r="C233" s="82"/>
      <c r="D233" s="93">
        <v>40.29</v>
      </c>
      <c r="E233" s="93">
        <v>36.22</v>
      </c>
    </row>
    <row r="234" spans="2:5" ht="15" customHeight="1" x14ac:dyDescent="0.3">
      <c r="B234" s="92" t="s">
        <v>390</v>
      </c>
      <c r="C234" s="82"/>
      <c r="D234" s="93">
        <v>100.44</v>
      </c>
      <c r="E234" s="93">
        <v>74.36</v>
      </c>
    </row>
    <row r="235" spans="2:5" ht="15" customHeight="1" x14ac:dyDescent="0.3">
      <c r="B235" s="92" t="s">
        <v>391</v>
      </c>
      <c r="C235" s="82"/>
      <c r="D235" s="93">
        <v>27.53</v>
      </c>
      <c r="E235" s="93">
        <v>22.95</v>
      </c>
    </row>
    <row r="236" spans="2:5" ht="15" customHeight="1" x14ac:dyDescent="0.3">
      <c r="B236" s="92" t="s">
        <v>392</v>
      </c>
      <c r="C236" s="82"/>
      <c r="D236" s="93">
        <v>0.11</v>
      </c>
      <c r="E236" s="93">
        <v>7.0000000000000007E-2</v>
      </c>
    </row>
    <row r="237" spans="2:5" ht="15" customHeight="1" x14ac:dyDescent="0.3">
      <c r="B237" s="92" t="s">
        <v>393</v>
      </c>
      <c r="C237" s="82"/>
      <c r="D237" s="93">
        <v>317.86</v>
      </c>
      <c r="E237" s="93">
        <v>315.02</v>
      </c>
    </row>
    <row r="238" spans="2:5" ht="15" customHeight="1" x14ac:dyDescent="0.3">
      <c r="B238" s="92" t="s">
        <v>394</v>
      </c>
      <c r="C238" s="82"/>
      <c r="D238" s="93">
        <v>1</v>
      </c>
      <c r="E238" s="93">
        <v>1.4</v>
      </c>
    </row>
    <row r="239" spans="2:5" ht="15" customHeight="1" x14ac:dyDescent="0.3">
      <c r="B239" s="92" t="s">
        <v>395</v>
      </c>
      <c r="C239" s="82"/>
      <c r="D239" s="93">
        <v>10</v>
      </c>
      <c r="E239" s="93">
        <v>10</v>
      </c>
    </row>
    <row r="240" spans="2:5" ht="15" customHeight="1" x14ac:dyDescent="0.3">
      <c r="B240" s="92" t="s">
        <v>396</v>
      </c>
      <c r="C240" s="82"/>
      <c r="D240" s="93">
        <v>27.79</v>
      </c>
      <c r="E240" s="93">
        <v>28.37</v>
      </c>
    </row>
    <row r="241" spans="2:7" ht="15" customHeight="1" x14ac:dyDescent="0.3">
      <c r="B241" s="94" t="s">
        <v>397</v>
      </c>
      <c r="C241" s="87"/>
      <c r="D241" s="95">
        <v>937.39</v>
      </c>
      <c r="E241" s="95">
        <v>872.83</v>
      </c>
    </row>
    <row r="242" spans="2:7" ht="6" customHeight="1" x14ac:dyDescent="0.3"/>
    <row r="243" spans="2:7" ht="18" customHeight="1" x14ac:dyDescent="0.3">
      <c r="B243" s="140" t="s">
        <v>398</v>
      </c>
      <c r="C243" s="112"/>
      <c r="D243" s="112"/>
      <c r="E243" s="112"/>
      <c r="F243" s="112"/>
      <c r="G243" s="112"/>
    </row>
    <row r="244" spans="2:7" ht="30" customHeight="1" x14ac:dyDescent="0.3">
      <c r="B244" s="91" t="s">
        <v>3</v>
      </c>
      <c r="C244" s="91" t="s">
        <v>198</v>
      </c>
      <c r="D244" s="91" t="s">
        <v>350</v>
      </c>
      <c r="E244" s="91" t="s">
        <v>351</v>
      </c>
      <c r="F244" s="91"/>
      <c r="G244" s="91"/>
    </row>
    <row r="245" spans="2:7" ht="15" customHeight="1" x14ac:dyDescent="0.3">
      <c r="B245" s="92" t="s">
        <v>399</v>
      </c>
      <c r="C245" s="82"/>
      <c r="D245" s="93">
        <v>19.170000000000002</v>
      </c>
      <c r="E245" s="93">
        <v>11.24</v>
      </c>
    </row>
    <row r="246" spans="2:7" ht="15" customHeight="1" x14ac:dyDescent="0.3">
      <c r="B246" s="94" t="s">
        <v>400</v>
      </c>
      <c r="C246" s="87"/>
      <c r="D246" s="95">
        <v>19.170000000000002</v>
      </c>
      <c r="E246" s="95">
        <v>11.24</v>
      </c>
    </row>
    <row r="247" spans="2:7" ht="6" customHeight="1" x14ac:dyDescent="0.3"/>
    <row r="248" spans="2:7" ht="18" customHeight="1" x14ac:dyDescent="0.3">
      <c r="B248" s="140" t="s">
        <v>401</v>
      </c>
      <c r="C248" s="112"/>
      <c r="D248" s="112"/>
      <c r="E248" s="112"/>
      <c r="F248" s="112"/>
      <c r="G248" s="112"/>
    </row>
    <row r="249" spans="2:7" ht="30" customHeight="1" x14ac:dyDescent="0.3">
      <c r="B249" s="91" t="s">
        <v>3</v>
      </c>
      <c r="C249" s="91" t="s">
        <v>198</v>
      </c>
      <c r="D249" s="91" t="s">
        <v>87</v>
      </c>
      <c r="E249" s="91" t="s">
        <v>88</v>
      </c>
      <c r="F249" s="91"/>
      <c r="G249" s="91"/>
    </row>
    <row r="250" spans="2:7" ht="15" customHeight="1" x14ac:dyDescent="0.3">
      <c r="B250" s="92" t="s">
        <v>402</v>
      </c>
      <c r="C250" s="82"/>
      <c r="D250" s="82"/>
      <c r="E250" s="82"/>
    </row>
    <row r="251" spans="2:7" ht="15" customHeight="1" x14ac:dyDescent="0.3">
      <c r="B251" s="92" t="s">
        <v>403</v>
      </c>
      <c r="C251" s="82"/>
      <c r="D251" s="82"/>
      <c r="E251" s="82"/>
    </row>
    <row r="252" spans="2:7" ht="15" customHeight="1" x14ac:dyDescent="0.3">
      <c r="B252" s="92" t="s">
        <v>404</v>
      </c>
      <c r="C252" s="82"/>
      <c r="D252" s="93">
        <v>10</v>
      </c>
      <c r="E252" s="93">
        <v>10</v>
      </c>
    </row>
    <row r="253" spans="2:7" ht="15" customHeight="1" x14ac:dyDescent="0.3">
      <c r="B253" s="92" t="s">
        <v>405</v>
      </c>
      <c r="C253" s="82"/>
      <c r="D253" s="82"/>
      <c r="E253" s="82"/>
    </row>
    <row r="254" spans="2:7" ht="15" customHeight="1" x14ac:dyDescent="0.3">
      <c r="B254" s="92" t="s">
        <v>406</v>
      </c>
      <c r="C254" s="82"/>
      <c r="D254" s="82"/>
      <c r="E254" s="82"/>
    </row>
    <row r="255" spans="2:7" ht="15" customHeight="1" x14ac:dyDescent="0.3">
      <c r="B255" s="92" t="s">
        <v>407</v>
      </c>
      <c r="C255" s="82"/>
      <c r="D255" s="82"/>
      <c r="E255" s="82"/>
    </row>
    <row r="256" spans="2:7" ht="15" customHeight="1" x14ac:dyDescent="0.3">
      <c r="B256" s="92" t="s">
        <v>408</v>
      </c>
      <c r="C256" s="82"/>
      <c r="D256" s="93">
        <v>23619</v>
      </c>
      <c r="E256" s="93">
        <v>23619</v>
      </c>
    </row>
    <row r="257" spans="2:7" ht="49.95" customHeight="1" x14ac:dyDescent="0.3">
      <c r="B257" s="138" t="s">
        <v>409</v>
      </c>
      <c r="C257" s="112"/>
      <c r="D257" s="112"/>
      <c r="E257" s="112"/>
      <c r="F257" s="112"/>
      <c r="G257" s="112"/>
    </row>
    <row r="258" spans="2:7" ht="6" customHeight="1" x14ac:dyDescent="0.3"/>
    <row r="259" spans="2:7" ht="18" customHeight="1" x14ac:dyDescent="0.3">
      <c r="B259" s="140" t="s">
        <v>410</v>
      </c>
      <c r="C259" s="112"/>
      <c r="D259" s="112"/>
      <c r="E259" s="112"/>
      <c r="F259" s="112"/>
      <c r="G259" s="112"/>
    </row>
    <row r="260" spans="2:7" ht="30" customHeight="1" x14ac:dyDescent="0.3">
      <c r="B260" s="91" t="s">
        <v>411</v>
      </c>
      <c r="C260" s="91" t="s">
        <v>198</v>
      </c>
      <c r="D260" s="91" t="s">
        <v>412</v>
      </c>
      <c r="E260" s="91" t="s">
        <v>413</v>
      </c>
      <c r="F260" s="91"/>
      <c r="G260" s="91"/>
    </row>
    <row r="261" spans="2:7" ht="15" customHeight="1" x14ac:dyDescent="0.3">
      <c r="B261" s="96" t="s">
        <v>414</v>
      </c>
      <c r="D261" s="98">
        <v>0.55810000000000004</v>
      </c>
      <c r="E261" s="98">
        <v>0.55900000000000005</v>
      </c>
    </row>
    <row r="262" spans="2:7" ht="15" customHeight="1" x14ac:dyDescent="0.3">
      <c r="B262" s="96" t="s">
        <v>415</v>
      </c>
      <c r="D262" s="98">
        <v>-1.0822000000000001</v>
      </c>
      <c r="E262" s="98">
        <v>-1.0822000000000001</v>
      </c>
    </row>
    <row r="263" spans="2:7" ht="15" customHeight="1" x14ac:dyDescent="0.3">
      <c r="B263" s="96" t="s">
        <v>416</v>
      </c>
      <c r="D263" s="98">
        <v>1E-3</v>
      </c>
      <c r="E263" s="98">
        <v>-3.0999999999999999E-3</v>
      </c>
    </row>
    <row r="264" spans="2:7" ht="15" customHeight="1" x14ac:dyDescent="0.3">
      <c r="B264" s="96" t="s">
        <v>417</v>
      </c>
      <c r="D264" s="98">
        <v>0</v>
      </c>
      <c r="E264" s="98">
        <v>4.4999999999999997E-3</v>
      </c>
    </row>
    <row r="265" spans="2:7" ht="15" customHeight="1" x14ac:dyDescent="0.3">
      <c r="B265" s="96" t="s">
        <v>418</v>
      </c>
    </row>
    <row r="266" spans="2:7" ht="15" customHeight="1" x14ac:dyDescent="0.3">
      <c r="B266" s="96" t="s">
        <v>419</v>
      </c>
      <c r="D266" s="98">
        <v>8.4400000000000003E-2</v>
      </c>
      <c r="E266" s="98">
        <v>5.1000000000000004E-3</v>
      </c>
    </row>
    <row r="267" spans="2:7" ht="15" customHeight="1" x14ac:dyDescent="0.3">
      <c r="B267" s="96" t="s">
        <v>420</v>
      </c>
      <c r="D267" s="98">
        <v>2.24E-2</v>
      </c>
      <c r="E267" s="98">
        <v>2.1499999999999998E-2</v>
      </c>
    </row>
    <row r="268" spans="2:7" ht="15" customHeight="1" x14ac:dyDescent="0.3">
      <c r="B268" s="96" t="s">
        <v>421</v>
      </c>
      <c r="D268" s="98">
        <v>-1.32E-2</v>
      </c>
      <c r="E268" s="98">
        <v>-8.0000000000000004E-4</v>
      </c>
    </row>
    <row r="269" spans="2:7" ht="15" customHeight="1" x14ac:dyDescent="0.3">
      <c r="B269" s="96" t="s">
        <v>422</v>
      </c>
      <c r="D269" s="98">
        <v>-3.3399999999999999E-2</v>
      </c>
      <c r="E269" s="98">
        <v>-504.25240000000002</v>
      </c>
    </row>
    <row r="270" spans="2:7" ht="15" customHeight="1" x14ac:dyDescent="0.3">
      <c r="B270" s="96" t="s">
        <v>423</v>
      </c>
      <c r="D270" s="98">
        <v>0</v>
      </c>
      <c r="E270" s="98">
        <v>4.4999999999999997E-3</v>
      </c>
    </row>
    <row r="271" spans="2:7" ht="15" customHeight="1" x14ac:dyDescent="0.3">
      <c r="B271" s="96" t="s">
        <v>424</v>
      </c>
    </row>
    <row r="272" spans="2:7" ht="6" customHeight="1" x14ac:dyDescent="0.3"/>
    <row r="273" spans="2:7" ht="15" customHeight="1" x14ac:dyDescent="0.3">
      <c r="B273" s="137" t="s">
        <v>425</v>
      </c>
      <c r="C273" s="112"/>
      <c r="D273" s="112"/>
      <c r="E273" s="112"/>
      <c r="F273" s="112"/>
      <c r="G273" s="112"/>
    </row>
  </sheetData>
  <mergeCells count="56">
    <mergeCell ref="B60:G60"/>
    <mergeCell ref="B179:G179"/>
    <mergeCell ref="B1:G1"/>
    <mergeCell ref="B119:G119"/>
    <mergeCell ref="B157:G157"/>
    <mergeCell ref="B15:G15"/>
    <mergeCell ref="B20:G20"/>
    <mergeCell ref="B36:G36"/>
    <mergeCell ref="B4:G4"/>
    <mergeCell ref="B25:G25"/>
    <mergeCell ref="B22:G22"/>
    <mergeCell ref="B243:G243"/>
    <mergeCell ref="B38:G38"/>
    <mergeCell ref="B248:G248"/>
    <mergeCell ref="B108:G108"/>
    <mergeCell ref="B186:G186"/>
    <mergeCell ref="B45:G45"/>
    <mergeCell ref="B62:G62"/>
    <mergeCell ref="B72:G72"/>
    <mergeCell ref="B54:G54"/>
    <mergeCell ref="B141:G141"/>
    <mergeCell ref="B159:G159"/>
    <mergeCell ref="B115:G115"/>
    <mergeCell ref="B131:G131"/>
    <mergeCell ref="B150:G150"/>
    <mergeCell ref="B202:G202"/>
    <mergeCell ref="B122:G122"/>
    <mergeCell ref="B221:G221"/>
    <mergeCell ref="B79:G79"/>
    <mergeCell ref="B212:G212"/>
    <mergeCell ref="B188:G188"/>
    <mergeCell ref="B106:G106"/>
    <mergeCell ref="B113:G113"/>
    <mergeCell ref="B152:G152"/>
    <mergeCell ref="B117:G117"/>
    <mergeCell ref="B177:G177"/>
    <mergeCell ref="B95:G95"/>
    <mergeCell ref="B133:G133"/>
    <mergeCell ref="B85:G85"/>
    <mergeCell ref="B169:G169"/>
    <mergeCell ref="B273:G273"/>
    <mergeCell ref="B184:G184"/>
    <mergeCell ref="B93:G93"/>
    <mergeCell ref="B43:G43"/>
    <mergeCell ref="B18:G18"/>
    <mergeCell ref="B56:G56"/>
    <mergeCell ref="B167:G167"/>
    <mergeCell ref="B70:G70"/>
    <mergeCell ref="B219:G219"/>
    <mergeCell ref="B195:G195"/>
    <mergeCell ref="B77:G77"/>
    <mergeCell ref="B259:G259"/>
    <mergeCell ref="B257:G257"/>
    <mergeCell ref="B52:G52"/>
    <mergeCell ref="B143:G143"/>
    <mergeCell ref="B68:G6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O176"/>
  <sheetViews>
    <sheetView showGridLines="0" workbookViewId="0">
      <selection sqref="A1:A1048576"/>
    </sheetView>
  </sheetViews>
  <sheetFormatPr defaultRowHeight="14.4" x14ac:dyDescent="0.3"/>
  <cols>
    <col min="1" max="1" width="1.88671875" customWidth="1"/>
    <col min="4" max="4" width="9.88671875" bestFit="1" customWidth="1"/>
    <col min="6" max="6" width="10.44140625" bestFit="1" customWidth="1"/>
    <col min="8" max="8" width="9.88671875" bestFit="1" customWidth="1"/>
    <col min="9" max="9" width="10.77734375" bestFit="1" customWidth="1"/>
    <col min="10" max="10" width="11.6640625" bestFit="1" customWidth="1"/>
  </cols>
  <sheetData>
    <row r="1" spans="4:15" x14ac:dyDescent="0.3">
      <c r="D1" s="127" t="s">
        <v>189</v>
      </c>
      <c r="E1" s="112"/>
      <c r="H1" s="127" t="s">
        <v>164</v>
      </c>
      <c r="I1" s="112"/>
    </row>
    <row r="2" spans="4:15" x14ac:dyDescent="0.3">
      <c r="D2" s="75" t="s">
        <v>190</v>
      </c>
      <c r="E2" s="75" t="s">
        <v>191</v>
      </c>
      <c r="F2" s="75" t="s">
        <v>192</v>
      </c>
      <c r="H2" t="s">
        <v>193</v>
      </c>
      <c r="I2" t="s">
        <v>194</v>
      </c>
      <c r="J2" t="s">
        <v>195</v>
      </c>
    </row>
    <row r="3" spans="4:15" x14ac:dyDescent="0.3">
      <c r="D3" s="45">
        <v>45658</v>
      </c>
      <c r="E3" s="76">
        <v>23742.9</v>
      </c>
      <c r="H3" s="45">
        <v>45658</v>
      </c>
      <c r="I3">
        <v>3.89</v>
      </c>
    </row>
    <row r="4" spans="4:15" x14ac:dyDescent="0.3">
      <c r="D4" s="45">
        <v>45659</v>
      </c>
      <c r="E4" s="76">
        <v>24188.65</v>
      </c>
      <c r="F4" s="50">
        <f t="shared" ref="F4:F35" si="0">E4/E3-1</f>
        <v>1.8774033500541298E-2</v>
      </c>
      <c r="H4" s="45">
        <v>45659</v>
      </c>
      <c r="I4">
        <v>3.89</v>
      </c>
      <c r="J4">
        <f t="shared" ref="J4:J35" si="1">I4/I3-1</f>
        <v>0</v>
      </c>
    </row>
    <row r="5" spans="4:15" x14ac:dyDescent="0.3">
      <c r="D5" s="45">
        <v>45660</v>
      </c>
      <c r="E5" s="76">
        <v>24004.75</v>
      </c>
      <c r="F5" s="50">
        <f t="shared" si="0"/>
        <v>-7.6027393012839672E-3</v>
      </c>
      <c r="H5" s="45">
        <v>45660</v>
      </c>
      <c r="I5">
        <v>3.84</v>
      </c>
      <c r="J5">
        <f t="shared" si="1"/>
        <v>-1.2853470437018011E-2</v>
      </c>
    </row>
    <row r="6" spans="4:15" x14ac:dyDescent="0.3">
      <c r="D6" s="45">
        <v>45663</v>
      </c>
      <c r="E6" s="76">
        <v>23616.05</v>
      </c>
      <c r="F6" s="50">
        <f t="shared" si="0"/>
        <v>-1.6192628542267662E-2</v>
      </c>
      <c r="H6" s="45">
        <v>45663</v>
      </c>
      <c r="I6">
        <v>3.8</v>
      </c>
      <c r="J6">
        <f t="shared" si="1"/>
        <v>-1.041666666666663E-2</v>
      </c>
    </row>
    <row r="7" spans="4:15" x14ac:dyDescent="0.3">
      <c r="D7" s="45">
        <v>45664</v>
      </c>
      <c r="E7" s="76">
        <v>23707.9</v>
      </c>
      <c r="F7" s="50">
        <f t="shared" si="0"/>
        <v>3.8893040961549552E-3</v>
      </c>
      <c r="H7" s="45">
        <v>45664</v>
      </c>
      <c r="I7">
        <v>3.79</v>
      </c>
      <c r="J7">
        <f t="shared" si="1"/>
        <v>-2.6315789473683182E-3</v>
      </c>
    </row>
    <row r="8" spans="4:15" x14ac:dyDescent="0.3">
      <c r="D8" s="45">
        <v>45665</v>
      </c>
      <c r="E8" s="76">
        <v>23688.95</v>
      </c>
      <c r="F8" s="50">
        <f t="shared" si="0"/>
        <v>-7.9931162186441806E-4</v>
      </c>
      <c r="H8" s="45">
        <v>45665</v>
      </c>
      <c r="I8">
        <v>3.71</v>
      </c>
      <c r="J8">
        <f t="shared" si="1"/>
        <v>-2.1108179419525031E-2</v>
      </c>
      <c r="N8" t="s">
        <v>196</v>
      </c>
      <c r="O8" s="77">
        <f>SLOPE(F4:F176,J4:J176)</f>
        <v>3.8349301761844382E-2</v>
      </c>
    </row>
    <row r="9" spans="4:15" x14ac:dyDescent="0.3">
      <c r="D9" s="45">
        <v>45666</v>
      </c>
      <c r="E9" s="76">
        <v>23526.5</v>
      </c>
      <c r="F9" s="50">
        <f t="shared" si="0"/>
        <v>-6.8576277124988705E-3</v>
      </c>
      <c r="H9" s="45">
        <v>45666</v>
      </c>
      <c r="I9">
        <v>3.71</v>
      </c>
      <c r="J9">
        <f t="shared" si="1"/>
        <v>0</v>
      </c>
      <c r="O9" s="77">
        <f>_xlfn.COVARIANCE.S(F4:F176,J$4:J$176)/_xlfn.VAR.S(J$4:J$176)</f>
        <v>3.8349301761844395E-2</v>
      </c>
    </row>
    <row r="10" spans="4:15" x14ac:dyDescent="0.3">
      <c r="D10" s="45">
        <v>45667</v>
      </c>
      <c r="E10" s="76">
        <v>23431.5</v>
      </c>
      <c r="F10" s="50">
        <f t="shared" si="0"/>
        <v>-4.037999702463213E-3</v>
      </c>
      <c r="H10" s="45">
        <v>45667</v>
      </c>
      <c r="I10">
        <v>3.54</v>
      </c>
      <c r="J10">
        <f t="shared" si="1"/>
        <v>-4.5822102425876032E-2</v>
      </c>
    </row>
    <row r="11" spans="4:15" x14ac:dyDescent="0.3">
      <c r="D11" s="45">
        <v>45670</v>
      </c>
      <c r="E11" s="76">
        <v>23085.95</v>
      </c>
      <c r="F11" s="50">
        <f t="shared" si="0"/>
        <v>-1.4747241960608504E-2</v>
      </c>
      <c r="H11" s="45">
        <v>45670</v>
      </c>
      <c r="I11">
        <v>3.44</v>
      </c>
      <c r="J11">
        <f t="shared" si="1"/>
        <v>-2.8248587570621542E-2</v>
      </c>
    </row>
    <row r="12" spans="4:15" x14ac:dyDescent="0.3">
      <c r="D12" s="45">
        <v>45671</v>
      </c>
      <c r="E12" s="76">
        <v>23176.05</v>
      </c>
      <c r="F12" s="50">
        <f t="shared" si="0"/>
        <v>3.9028066854513987E-3</v>
      </c>
      <c r="H12" s="45">
        <v>45671</v>
      </c>
      <c r="I12">
        <v>3.49</v>
      </c>
      <c r="J12">
        <f t="shared" si="1"/>
        <v>1.4534883720930258E-2</v>
      </c>
    </row>
    <row r="13" spans="4:15" x14ac:dyDescent="0.3">
      <c r="D13" s="45">
        <v>45672</v>
      </c>
      <c r="E13" s="76">
        <v>23213.200000000001</v>
      </c>
      <c r="F13" s="50">
        <f t="shared" si="0"/>
        <v>1.6029478707546563E-3</v>
      </c>
      <c r="H13" s="45">
        <v>45672</v>
      </c>
      <c r="I13">
        <v>3.51</v>
      </c>
      <c r="J13">
        <f t="shared" si="1"/>
        <v>5.7306590257879542E-3</v>
      </c>
    </row>
    <row r="14" spans="4:15" x14ac:dyDescent="0.3">
      <c r="D14" s="45">
        <v>45673</v>
      </c>
      <c r="E14" s="76">
        <v>23311.8</v>
      </c>
      <c r="F14" s="50">
        <f t="shared" si="0"/>
        <v>4.2475832715866968E-3</v>
      </c>
      <c r="H14" s="45">
        <v>45673</v>
      </c>
      <c r="I14">
        <v>3.56</v>
      </c>
      <c r="J14">
        <f t="shared" si="1"/>
        <v>1.4245014245014342E-2</v>
      </c>
    </row>
    <row r="15" spans="4:15" x14ac:dyDescent="0.3">
      <c r="D15" s="45">
        <v>45674</v>
      </c>
      <c r="E15" s="76">
        <v>23203.200000000001</v>
      </c>
      <c r="F15" s="50">
        <f t="shared" si="0"/>
        <v>-4.6585849226571385E-3</v>
      </c>
      <c r="H15" s="45">
        <v>45674</v>
      </c>
      <c r="I15">
        <v>3.53</v>
      </c>
      <c r="J15">
        <f t="shared" si="1"/>
        <v>-8.4269662921349076E-3</v>
      </c>
    </row>
    <row r="16" spans="4:15" x14ac:dyDescent="0.3">
      <c r="D16" s="45">
        <v>45677</v>
      </c>
      <c r="E16" s="76">
        <v>23344.75</v>
      </c>
      <c r="F16" s="50">
        <f t="shared" si="0"/>
        <v>6.1004516618397009E-3</v>
      </c>
      <c r="H16" s="45">
        <v>45677</v>
      </c>
      <c r="I16">
        <v>3.7</v>
      </c>
      <c r="J16">
        <f t="shared" si="1"/>
        <v>4.8158640226628968E-2</v>
      </c>
    </row>
    <row r="17" spans="4:10" x14ac:dyDescent="0.3">
      <c r="D17" s="45">
        <v>45678</v>
      </c>
      <c r="E17" s="76">
        <v>23024.65</v>
      </c>
      <c r="F17" s="50">
        <f t="shared" si="0"/>
        <v>-1.3711862410177855E-2</v>
      </c>
      <c r="H17" s="45">
        <v>45678</v>
      </c>
      <c r="I17">
        <v>3.87</v>
      </c>
      <c r="J17">
        <f t="shared" si="1"/>
        <v>4.5945945945945921E-2</v>
      </c>
    </row>
    <row r="18" spans="4:10" x14ac:dyDescent="0.3">
      <c r="D18" s="45">
        <v>45679</v>
      </c>
      <c r="E18" s="76">
        <v>23155.35</v>
      </c>
      <c r="F18" s="50">
        <f t="shared" si="0"/>
        <v>5.6765249417471964E-3</v>
      </c>
      <c r="H18" s="45">
        <v>45679</v>
      </c>
      <c r="I18">
        <v>4.03</v>
      </c>
      <c r="J18">
        <f t="shared" si="1"/>
        <v>4.134366925064592E-2</v>
      </c>
    </row>
    <row r="19" spans="4:10" x14ac:dyDescent="0.3">
      <c r="D19" s="45">
        <v>45680</v>
      </c>
      <c r="E19" s="76">
        <v>23205.35</v>
      </c>
      <c r="F19" s="50">
        <f t="shared" si="0"/>
        <v>2.1593281898135697E-3</v>
      </c>
      <c r="H19" s="45">
        <v>45680</v>
      </c>
      <c r="I19">
        <v>4.2300000000000004</v>
      </c>
      <c r="J19">
        <f t="shared" si="1"/>
        <v>4.9627791563275458E-2</v>
      </c>
    </row>
    <row r="20" spans="4:10" x14ac:dyDescent="0.3">
      <c r="D20" s="45">
        <v>45681</v>
      </c>
      <c r="E20" s="76">
        <v>23092.2</v>
      </c>
      <c r="F20" s="50">
        <f t="shared" si="0"/>
        <v>-4.876030742910431E-3</v>
      </c>
      <c r="H20" s="45">
        <v>45681</v>
      </c>
      <c r="I20">
        <v>4.4400000000000004</v>
      </c>
      <c r="J20">
        <f t="shared" si="1"/>
        <v>4.9645390070921946E-2</v>
      </c>
    </row>
    <row r="21" spans="4:10" x14ac:dyDescent="0.3">
      <c r="D21" s="45">
        <v>45684</v>
      </c>
      <c r="E21" s="76">
        <v>22829.15</v>
      </c>
      <c r="F21" s="50">
        <f t="shared" si="0"/>
        <v>-1.139129229783209E-2</v>
      </c>
      <c r="H21" s="45">
        <v>45684</v>
      </c>
      <c r="I21">
        <v>4.21</v>
      </c>
      <c r="J21">
        <f t="shared" si="1"/>
        <v>-5.1801801801801939E-2</v>
      </c>
    </row>
    <row r="22" spans="4:10" x14ac:dyDescent="0.3">
      <c r="D22" s="45">
        <v>45691</v>
      </c>
      <c r="E22" s="76">
        <v>23361.05</v>
      </c>
      <c r="F22" s="50">
        <f t="shared" si="0"/>
        <v>2.3299159189019258E-2</v>
      </c>
      <c r="H22" s="45">
        <v>45691</v>
      </c>
      <c r="I22">
        <v>3.99</v>
      </c>
      <c r="J22">
        <f t="shared" si="1"/>
        <v>-5.2256532066508266E-2</v>
      </c>
    </row>
    <row r="23" spans="4:10" x14ac:dyDescent="0.3">
      <c r="D23" s="45">
        <v>45698</v>
      </c>
      <c r="E23" s="76">
        <v>23381.599999999999</v>
      </c>
      <c r="F23" s="50">
        <f t="shared" si="0"/>
        <v>8.7966936417660513E-4</v>
      </c>
      <c r="H23" s="45">
        <v>45698</v>
      </c>
      <c r="I23">
        <v>3.79</v>
      </c>
      <c r="J23">
        <f t="shared" si="1"/>
        <v>-5.0125313283208017E-2</v>
      </c>
    </row>
    <row r="24" spans="4:10" x14ac:dyDescent="0.3">
      <c r="D24" s="45">
        <v>45705</v>
      </c>
      <c r="E24" s="76">
        <v>22959.5</v>
      </c>
      <c r="F24" s="50">
        <f t="shared" si="0"/>
        <v>-1.805265678995438E-2</v>
      </c>
      <c r="H24" s="45">
        <v>45705</v>
      </c>
      <c r="I24">
        <v>3.6</v>
      </c>
      <c r="J24">
        <f t="shared" si="1"/>
        <v>-5.0131926121372072E-2</v>
      </c>
    </row>
    <row r="25" spans="4:10" x14ac:dyDescent="0.3">
      <c r="D25" s="45">
        <v>45712</v>
      </c>
      <c r="E25" s="76">
        <v>22553.35</v>
      </c>
      <c r="F25" s="50">
        <f t="shared" si="0"/>
        <v>-1.7689845162133344E-2</v>
      </c>
      <c r="H25" s="45">
        <v>45712</v>
      </c>
      <c r="I25">
        <v>3.42</v>
      </c>
      <c r="J25">
        <f t="shared" si="1"/>
        <v>-5.0000000000000044E-2</v>
      </c>
    </row>
    <row r="26" spans="4:10" x14ac:dyDescent="0.3">
      <c r="D26" s="45">
        <v>45719</v>
      </c>
      <c r="E26" s="76">
        <v>22119.3</v>
      </c>
      <c r="F26" s="50">
        <f t="shared" si="0"/>
        <v>-1.9245477944518141E-2</v>
      </c>
      <c r="H26" s="45">
        <v>45719</v>
      </c>
      <c r="I26">
        <v>3.24</v>
      </c>
      <c r="J26">
        <f t="shared" si="1"/>
        <v>-5.2631578947368363E-2</v>
      </c>
    </row>
    <row r="27" spans="4:10" x14ac:dyDescent="0.3">
      <c r="D27" s="45">
        <v>45720</v>
      </c>
      <c r="E27" s="76">
        <v>22082.65</v>
      </c>
      <c r="F27" s="50">
        <f t="shared" si="0"/>
        <v>-1.6569240437083188E-3</v>
      </c>
      <c r="H27" s="45">
        <v>45720</v>
      </c>
      <c r="I27">
        <v>3.07</v>
      </c>
      <c r="J27">
        <f t="shared" si="1"/>
        <v>-5.2469135802469258E-2</v>
      </c>
    </row>
    <row r="28" spans="4:10" x14ac:dyDescent="0.3">
      <c r="D28" s="45">
        <v>45721</v>
      </c>
      <c r="E28" s="76">
        <v>22337.3</v>
      </c>
      <c r="F28" s="50">
        <f t="shared" si="0"/>
        <v>1.1531677583985545E-2</v>
      </c>
      <c r="H28" s="45">
        <v>45721</v>
      </c>
      <c r="I28">
        <v>3.02</v>
      </c>
      <c r="J28">
        <f t="shared" si="1"/>
        <v>-1.6286644951139961E-2</v>
      </c>
    </row>
    <row r="29" spans="4:10" x14ac:dyDescent="0.3">
      <c r="D29" s="45">
        <v>45722</v>
      </c>
      <c r="E29" s="76">
        <v>22544.7</v>
      </c>
      <c r="F29" s="50">
        <f t="shared" si="0"/>
        <v>9.2849180518683738E-3</v>
      </c>
      <c r="H29" s="45">
        <v>45722</v>
      </c>
      <c r="I29">
        <v>3.06</v>
      </c>
      <c r="J29">
        <f t="shared" si="1"/>
        <v>1.3245033112582849E-2</v>
      </c>
    </row>
    <row r="30" spans="4:10" x14ac:dyDescent="0.3">
      <c r="D30" s="45">
        <v>45723</v>
      </c>
      <c r="E30" s="76">
        <v>22552.5</v>
      </c>
      <c r="F30" s="50">
        <f t="shared" si="0"/>
        <v>3.459793210820461E-4</v>
      </c>
      <c r="H30" s="45">
        <v>45723</v>
      </c>
      <c r="I30">
        <v>3.13</v>
      </c>
      <c r="J30">
        <f t="shared" si="1"/>
        <v>2.2875816993463971E-2</v>
      </c>
    </row>
    <row r="31" spans="4:10" x14ac:dyDescent="0.3">
      <c r="D31" s="45">
        <v>45726</v>
      </c>
      <c r="E31" s="76">
        <v>22460.3</v>
      </c>
      <c r="F31" s="50">
        <f t="shared" si="0"/>
        <v>-4.0882385544840361E-3</v>
      </c>
      <c r="H31" s="45">
        <v>45726</v>
      </c>
      <c r="I31">
        <v>3.01</v>
      </c>
      <c r="J31">
        <f t="shared" si="1"/>
        <v>-3.833865814696491E-2</v>
      </c>
    </row>
    <row r="32" spans="4:10" x14ac:dyDescent="0.3">
      <c r="D32" s="45">
        <v>45727</v>
      </c>
      <c r="E32" s="76">
        <v>22497.9</v>
      </c>
      <c r="F32" s="50">
        <f t="shared" si="0"/>
        <v>1.6740649056334878E-3</v>
      </c>
      <c r="H32" s="45">
        <v>45727</v>
      </c>
      <c r="I32">
        <v>2.94</v>
      </c>
      <c r="J32">
        <f t="shared" si="1"/>
        <v>-2.3255813953488302E-2</v>
      </c>
    </row>
    <row r="33" spans="4:10" x14ac:dyDescent="0.3">
      <c r="D33" s="45">
        <v>45728</v>
      </c>
      <c r="E33" s="76">
        <v>22470.5</v>
      </c>
      <c r="F33" s="50">
        <f t="shared" si="0"/>
        <v>-1.2178914476462799E-3</v>
      </c>
      <c r="H33" s="45">
        <v>45728</v>
      </c>
      <c r="I33">
        <v>2.86</v>
      </c>
      <c r="J33">
        <f t="shared" si="1"/>
        <v>-2.7210884353741527E-2</v>
      </c>
    </row>
    <row r="34" spans="4:10" x14ac:dyDescent="0.3">
      <c r="D34" s="45">
        <v>45729</v>
      </c>
      <c r="E34" s="76">
        <v>22397.200000000001</v>
      </c>
      <c r="F34" s="50">
        <f t="shared" si="0"/>
        <v>-3.2620546939320372E-3</v>
      </c>
      <c r="H34" s="45">
        <v>45729</v>
      </c>
      <c r="I34">
        <v>2.77</v>
      </c>
      <c r="J34">
        <f t="shared" si="1"/>
        <v>-3.1468531468531458E-2</v>
      </c>
    </row>
    <row r="35" spans="4:10" x14ac:dyDescent="0.3">
      <c r="D35" s="45">
        <v>45733</v>
      </c>
      <c r="E35" s="76">
        <v>22508.75</v>
      </c>
      <c r="F35" s="50">
        <f t="shared" si="0"/>
        <v>4.9805332809458314E-3</v>
      </c>
      <c r="H35" s="45">
        <v>45733</v>
      </c>
      <c r="I35">
        <v>2.68</v>
      </c>
      <c r="J35">
        <f t="shared" si="1"/>
        <v>-3.2490974729241784E-2</v>
      </c>
    </row>
    <row r="36" spans="4:10" x14ac:dyDescent="0.3">
      <c r="D36" s="45">
        <v>45734</v>
      </c>
      <c r="E36" s="76">
        <v>22834.3</v>
      </c>
      <c r="F36" s="50">
        <f t="shared" ref="F36:F67" si="2">E36/E35-1</f>
        <v>1.4463264286110888E-2</v>
      </c>
      <c r="H36" s="45">
        <v>45734</v>
      </c>
      <c r="I36">
        <v>2.7</v>
      </c>
      <c r="J36">
        <f t="shared" ref="J36:J67" si="3">I36/I35-1</f>
        <v>7.4626865671640896E-3</v>
      </c>
    </row>
    <row r="37" spans="4:10" x14ac:dyDescent="0.3">
      <c r="D37" s="45">
        <v>45735</v>
      </c>
      <c r="E37" s="76">
        <v>22907.599999999999</v>
      </c>
      <c r="F37" s="50">
        <f t="shared" si="2"/>
        <v>3.2100830767747279E-3</v>
      </c>
      <c r="H37" s="45">
        <v>45735</v>
      </c>
      <c r="I37">
        <v>2.83</v>
      </c>
      <c r="J37">
        <f t="shared" si="3"/>
        <v>4.8148148148148051E-2</v>
      </c>
    </row>
    <row r="38" spans="4:10" x14ac:dyDescent="0.3">
      <c r="D38" s="45">
        <v>45736</v>
      </c>
      <c r="E38" s="76">
        <v>23190.65</v>
      </c>
      <c r="F38" s="50">
        <f t="shared" si="2"/>
        <v>1.2356161273987754E-2</v>
      </c>
      <c r="H38" s="45">
        <v>45736</v>
      </c>
      <c r="I38">
        <v>2.97</v>
      </c>
      <c r="J38">
        <f t="shared" si="3"/>
        <v>4.9469964664311084E-2</v>
      </c>
    </row>
    <row r="39" spans="4:10" x14ac:dyDescent="0.3">
      <c r="D39" s="45">
        <v>45737</v>
      </c>
      <c r="E39" s="76">
        <v>23350.400000000001</v>
      </c>
      <c r="F39" s="50">
        <f t="shared" si="2"/>
        <v>6.8885520673203082E-3</v>
      </c>
      <c r="H39" s="45">
        <v>45737</v>
      </c>
      <c r="I39">
        <v>3.09</v>
      </c>
      <c r="J39">
        <f t="shared" si="3"/>
        <v>4.040404040404022E-2</v>
      </c>
    </row>
    <row r="40" spans="4:10" x14ac:dyDescent="0.3">
      <c r="D40" s="45">
        <v>45740</v>
      </c>
      <c r="E40" s="76">
        <v>23658.35</v>
      </c>
      <c r="F40" s="50">
        <f t="shared" si="2"/>
        <v>1.3188210908592346E-2</v>
      </c>
      <c r="H40" s="45">
        <v>45740</v>
      </c>
      <c r="I40">
        <v>3.03</v>
      </c>
      <c r="J40">
        <f t="shared" si="3"/>
        <v>-1.9417475728155331E-2</v>
      </c>
    </row>
    <row r="41" spans="4:10" x14ac:dyDescent="0.3">
      <c r="D41" s="45">
        <v>45741</v>
      </c>
      <c r="E41" s="76">
        <v>23668.65</v>
      </c>
      <c r="F41" s="50">
        <f t="shared" si="2"/>
        <v>4.353642582852757E-4</v>
      </c>
      <c r="H41" s="45">
        <v>45741</v>
      </c>
      <c r="I41">
        <v>2.96</v>
      </c>
      <c r="J41">
        <f t="shared" si="3"/>
        <v>-2.3102310231023049E-2</v>
      </c>
    </row>
    <row r="42" spans="4:10" x14ac:dyDescent="0.3">
      <c r="D42" s="45">
        <v>45742</v>
      </c>
      <c r="E42" s="76">
        <v>23486.85</v>
      </c>
      <c r="F42" s="50">
        <f t="shared" si="2"/>
        <v>-7.6810464475161044E-3</v>
      </c>
      <c r="H42" s="45">
        <v>45742</v>
      </c>
      <c r="I42">
        <v>2.81</v>
      </c>
      <c r="J42">
        <f t="shared" si="3"/>
        <v>-5.0675675675675658E-2</v>
      </c>
    </row>
    <row r="43" spans="4:10" x14ac:dyDescent="0.3">
      <c r="D43" s="45">
        <v>45743</v>
      </c>
      <c r="E43" s="76">
        <v>23591.95</v>
      </c>
      <c r="F43" s="50">
        <f t="shared" si="2"/>
        <v>4.4748444342259663E-3</v>
      </c>
      <c r="H43" s="45">
        <v>45743</v>
      </c>
      <c r="I43">
        <v>2.66</v>
      </c>
      <c r="J43">
        <f t="shared" si="3"/>
        <v>-5.3380782918149405E-2</v>
      </c>
    </row>
    <row r="44" spans="4:10" x14ac:dyDescent="0.3">
      <c r="D44" s="45">
        <v>45744</v>
      </c>
      <c r="E44" s="76">
        <v>23519.35</v>
      </c>
      <c r="F44" s="50">
        <f t="shared" si="2"/>
        <v>-3.0773208658039231E-3</v>
      </c>
      <c r="H44" s="45">
        <v>45744</v>
      </c>
      <c r="I44">
        <v>2.5499999999999998</v>
      </c>
      <c r="J44">
        <f t="shared" si="3"/>
        <v>-4.1353383458646698E-2</v>
      </c>
    </row>
    <row r="45" spans="4:10" x14ac:dyDescent="0.3">
      <c r="D45" s="45">
        <v>45748</v>
      </c>
      <c r="E45" s="76">
        <v>23165.7</v>
      </c>
      <c r="F45" s="50">
        <f t="shared" si="2"/>
        <v>-1.5036555006834651E-2</v>
      </c>
      <c r="H45" s="45">
        <v>45748</v>
      </c>
      <c r="I45">
        <v>2.67</v>
      </c>
      <c r="J45">
        <f t="shared" si="3"/>
        <v>4.705882352941182E-2</v>
      </c>
    </row>
    <row r="46" spans="4:10" x14ac:dyDescent="0.3">
      <c r="D46" s="45">
        <v>45749</v>
      </c>
      <c r="E46" s="76">
        <v>23332.35</v>
      </c>
      <c r="F46" s="50">
        <f t="shared" si="2"/>
        <v>7.1938253538634811E-3</v>
      </c>
      <c r="H46" s="45">
        <v>45749</v>
      </c>
      <c r="I46">
        <v>2.8</v>
      </c>
      <c r="J46">
        <f t="shared" si="3"/>
        <v>4.8689138576778923E-2</v>
      </c>
    </row>
    <row r="47" spans="4:10" x14ac:dyDescent="0.3">
      <c r="D47" s="45">
        <v>45750</v>
      </c>
      <c r="E47" s="76">
        <v>23250.1</v>
      </c>
      <c r="F47" s="50">
        <f t="shared" si="2"/>
        <v>-3.5251485598322141E-3</v>
      </c>
      <c r="H47" s="45">
        <v>45750</v>
      </c>
      <c r="I47">
        <v>2.94</v>
      </c>
      <c r="J47">
        <f t="shared" si="3"/>
        <v>5.0000000000000044E-2</v>
      </c>
    </row>
    <row r="48" spans="4:10" x14ac:dyDescent="0.3">
      <c r="D48" s="45">
        <v>45751</v>
      </c>
      <c r="E48" s="76">
        <v>22904.45</v>
      </c>
      <c r="F48" s="50">
        <f t="shared" si="2"/>
        <v>-1.4866602724289302E-2</v>
      </c>
      <c r="H48" s="45">
        <v>45751</v>
      </c>
      <c r="I48">
        <v>3.07</v>
      </c>
      <c r="J48">
        <f t="shared" si="3"/>
        <v>4.421768707482987E-2</v>
      </c>
    </row>
    <row r="49" spans="4:10" x14ac:dyDescent="0.3">
      <c r="D49" s="45">
        <v>45754</v>
      </c>
      <c r="E49" s="76">
        <v>22161.599999999999</v>
      </c>
      <c r="F49" s="50">
        <f t="shared" si="2"/>
        <v>-3.2432562231356932E-2</v>
      </c>
      <c r="H49" s="45">
        <v>45754</v>
      </c>
      <c r="I49">
        <v>2.98</v>
      </c>
      <c r="J49">
        <f t="shared" si="3"/>
        <v>-2.9315960912052019E-2</v>
      </c>
    </row>
    <row r="50" spans="4:10" x14ac:dyDescent="0.3">
      <c r="D50" s="45">
        <v>45755</v>
      </c>
      <c r="E50" s="76">
        <v>22535.85</v>
      </c>
      <c r="F50" s="50">
        <f t="shared" si="2"/>
        <v>1.68873186051548E-2</v>
      </c>
      <c r="H50" s="45">
        <v>45755</v>
      </c>
      <c r="I50">
        <v>3.11</v>
      </c>
      <c r="J50">
        <f t="shared" si="3"/>
        <v>4.3624161073825496E-2</v>
      </c>
    </row>
    <row r="51" spans="4:10" x14ac:dyDescent="0.3">
      <c r="D51" s="45">
        <v>45756</v>
      </c>
      <c r="E51" s="76">
        <v>22399.15</v>
      </c>
      <c r="F51" s="50">
        <f t="shared" si="2"/>
        <v>-6.0658905699140231E-3</v>
      </c>
      <c r="H51" s="45">
        <v>45756</v>
      </c>
      <c r="I51">
        <v>3.26</v>
      </c>
      <c r="J51">
        <f t="shared" si="3"/>
        <v>4.8231511254019255E-2</v>
      </c>
    </row>
    <row r="52" spans="4:10" x14ac:dyDescent="0.3">
      <c r="D52" s="45">
        <v>45758</v>
      </c>
      <c r="E52" s="76">
        <v>22828.55</v>
      </c>
      <c r="F52" s="50">
        <f t="shared" si="2"/>
        <v>1.91703703042303E-2</v>
      </c>
      <c r="H52" s="45">
        <v>45758</v>
      </c>
      <c r="I52">
        <v>3.42</v>
      </c>
      <c r="J52">
        <f t="shared" si="3"/>
        <v>4.9079754601226933E-2</v>
      </c>
    </row>
    <row r="53" spans="4:10" x14ac:dyDescent="0.3">
      <c r="D53" s="45">
        <v>45762</v>
      </c>
      <c r="E53" s="76">
        <v>23328.55</v>
      </c>
      <c r="F53" s="50">
        <f t="shared" si="2"/>
        <v>2.1902398531663314E-2</v>
      </c>
      <c r="H53" s="45">
        <v>45762</v>
      </c>
      <c r="I53">
        <v>3.59</v>
      </c>
      <c r="J53">
        <f t="shared" si="3"/>
        <v>4.9707602339181367E-2</v>
      </c>
    </row>
    <row r="54" spans="4:10" x14ac:dyDescent="0.3">
      <c r="D54" s="45">
        <v>45763</v>
      </c>
      <c r="E54" s="76">
        <v>23437.200000000001</v>
      </c>
      <c r="F54" s="50">
        <f t="shared" si="2"/>
        <v>4.6573833350123106E-3</v>
      </c>
      <c r="H54" s="45">
        <v>45763</v>
      </c>
      <c r="I54">
        <v>3.76</v>
      </c>
      <c r="J54">
        <f t="shared" si="3"/>
        <v>4.7353760445682402E-2</v>
      </c>
    </row>
    <row r="55" spans="4:10" x14ac:dyDescent="0.3">
      <c r="D55" s="45">
        <v>45764</v>
      </c>
      <c r="E55" s="76">
        <v>23851.65</v>
      </c>
      <c r="F55" s="50">
        <f t="shared" si="2"/>
        <v>1.7683426347857356E-2</v>
      </c>
      <c r="H55" s="45">
        <v>45764</v>
      </c>
      <c r="I55">
        <v>3.94</v>
      </c>
      <c r="J55">
        <f t="shared" si="3"/>
        <v>4.7872340425531901E-2</v>
      </c>
    </row>
    <row r="56" spans="4:10" x14ac:dyDescent="0.3">
      <c r="D56" s="45">
        <v>45775</v>
      </c>
      <c r="E56" s="76">
        <v>24328.5</v>
      </c>
      <c r="F56" s="50">
        <f t="shared" si="2"/>
        <v>1.9992327574821722E-2</v>
      </c>
      <c r="H56" s="45">
        <v>45775</v>
      </c>
      <c r="I56">
        <v>3.74</v>
      </c>
      <c r="J56">
        <f t="shared" si="3"/>
        <v>-5.0761421319796884E-2</v>
      </c>
    </row>
    <row r="57" spans="4:10" x14ac:dyDescent="0.3">
      <c r="D57" s="45">
        <v>45782</v>
      </c>
      <c r="E57" s="76">
        <v>24461.15</v>
      </c>
      <c r="F57" s="50">
        <f t="shared" si="2"/>
        <v>5.4524528844770437E-3</v>
      </c>
      <c r="H57" s="45">
        <v>45782</v>
      </c>
      <c r="I57">
        <v>3.55</v>
      </c>
      <c r="J57">
        <f t="shared" si="3"/>
        <v>-5.0802139037433247E-2</v>
      </c>
    </row>
    <row r="58" spans="4:10" x14ac:dyDescent="0.3">
      <c r="D58" s="45">
        <v>45789</v>
      </c>
      <c r="E58" s="76">
        <v>24924.7</v>
      </c>
      <c r="F58" s="50">
        <f t="shared" si="2"/>
        <v>1.8950458175515106E-2</v>
      </c>
      <c r="H58" s="45">
        <v>45789</v>
      </c>
      <c r="I58">
        <v>3.37</v>
      </c>
      <c r="J58">
        <f t="shared" si="3"/>
        <v>-5.0704225352112609E-2</v>
      </c>
    </row>
    <row r="59" spans="4:10" x14ac:dyDescent="0.3">
      <c r="D59" s="45">
        <v>45796</v>
      </c>
      <c r="E59" s="76">
        <v>24945.45</v>
      </c>
      <c r="F59" s="50">
        <f t="shared" si="2"/>
        <v>8.3250751262808897E-4</v>
      </c>
      <c r="H59" s="45">
        <v>45796</v>
      </c>
      <c r="I59">
        <v>3.2</v>
      </c>
      <c r="J59">
        <f t="shared" si="3"/>
        <v>-5.0445103857566731E-2</v>
      </c>
    </row>
    <row r="60" spans="4:10" x14ac:dyDescent="0.3">
      <c r="D60" s="45">
        <v>45803</v>
      </c>
      <c r="E60" s="76">
        <v>25001.15</v>
      </c>
      <c r="F60" s="50">
        <f t="shared" si="2"/>
        <v>2.2328721269810892E-3</v>
      </c>
      <c r="H60" s="45">
        <v>45803</v>
      </c>
      <c r="I60">
        <v>3.04</v>
      </c>
      <c r="J60">
        <f t="shared" si="3"/>
        <v>-5.0000000000000044E-2</v>
      </c>
    </row>
    <row r="61" spans="4:10" x14ac:dyDescent="0.3">
      <c r="D61" s="45">
        <v>45810</v>
      </c>
      <c r="E61" s="76">
        <v>24716.6</v>
      </c>
      <c r="F61" s="50">
        <f t="shared" si="2"/>
        <v>-1.1381476452083317E-2</v>
      </c>
      <c r="H61" s="45">
        <v>45810</v>
      </c>
      <c r="I61">
        <v>3.19</v>
      </c>
      <c r="J61">
        <f t="shared" si="3"/>
        <v>4.9342105263157965E-2</v>
      </c>
    </row>
    <row r="62" spans="4:10" x14ac:dyDescent="0.3">
      <c r="D62" s="45">
        <v>45811</v>
      </c>
      <c r="E62" s="76">
        <v>24542.5</v>
      </c>
      <c r="F62" s="50">
        <f t="shared" si="2"/>
        <v>-7.0438490730925229E-3</v>
      </c>
      <c r="H62" s="45">
        <v>45811</v>
      </c>
      <c r="I62">
        <v>3.34</v>
      </c>
      <c r="J62">
        <f t="shared" si="3"/>
        <v>4.7021943573667624E-2</v>
      </c>
    </row>
    <row r="63" spans="4:10" x14ac:dyDescent="0.3">
      <c r="D63" s="45">
        <v>45812</v>
      </c>
      <c r="E63" s="76">
        <v>24620.2</v>
      </c>
      <c r="F63" s="50">
        <f t="shared" si="2"/>
        <v>3.1659366405216716E-3</v>
      </c>
      <c r="H63" s="45">
        <v>45812</v>
      </c>
      <c r="I63">
        <v>3.5</v>
      </c>
      <c r="J63">
        <f t="shared" si="3"/>
        <v>4.7904191616766401E-2</v>
      </c>
    </row>
    <row r="64" spans="4:10" x14ac:dyDescent="0.3">
      <c r="D64" s="45">
        <v>45813</v>
      </c>
      <c r="E64" s="76">
        <v>24750.9</v>
      </c>
      <c r="F64" s="50">
        <f t="shared" si="2"/>
        <v>5.3086489955402882E-3</v>
      </c>
      <c r="H64" s="45">
        <v>45813</v>
      </c>
      <c r="I64">
        <v>3.67</v>
      </c>
      <c r="J64">
        <f t="shared" si="3"/>
        <v>4.8571428571428488E-2</v>
      </c>
    </row>
    <row r="65" spans="4:10" x14ac:dyDescent="0.3">
      <c r="D65" s="45">
        <v>45814</v>
      </c>
      <c r="E65" s="76">
        <v>25003.05</v>
      </c>
      <c r="F65" s="50">
        <f t="shared" si="2"/>
        <v>1.0187508333030282E-2</v>
      </c>
      <c r="H65" s="45">
        <v>45814</v>
      </c>
      <c r="I65">
        <v>3.85</v>
      </c>
      <c r="J65">
        <f t="shared" si="3"/>
        <v>4.9046321525885617E-2</v>
      </c>
    </row>
    <row r="66" spans="4:10" x14ac:dyDescent="0.3">
      <c r="D66" s="45">
        <v>45817</v>
      </c>
      <c r="E66" s="76">
        <v>25103.200000000001</v>
      </c>
      <c r="F66" s="50">
        <f t="shared" si="2"/>
        <v>4.0055113276180609E-3</v>
      </c>
      <c r="H66" s="45">
        <v>45817</v>
      </c>
      <c r="I66">
        <v>3.91</v>
      </c>
      <c r="J66">
        <f t="shared" si="3"/>
        <v>1.558441558441559E-2</v>
      </c>
    </row>
    <row r="67" spans="4:10" x14ac:dyDescent="0.3">
      <c r="D67" s="45">
        <v>45824</v>
      </c>
      <c r="E67" s="76">
        <v>24946.5</v>
      </c>
      <c r="F67" s="50">
        <f t="shared" si="2"/>
        <v>-6.2422320660314723E-3</v>
      </c>
      <c r="H67" s="45">
        <v>45824</v>
      </c>
      <c r="I67">
        <v>3.71</v>
      </c>
      <c r="J67">
        <f t="shared" si="3"/>
        <v>-5.1150895140664954E-2</v>
      </c>
    </row>
    <row r="68" spans="4:10" x14ac:dyDescent="0.3">
      <c r="D68" s="45">
        <v>45831</v>
      </c>
      <c r="E68" s="76">
        <v>24971.9</v>
      </c>
      <c r="F68" s="50">
        <f t="shared" ref="F68:F99" si="4">E68/E67-1</f>
        <v>1.0181789028520516E-3</v>
      </c>
      <c r="H68" s="45">
        <v>45831</v>
      </c>
      <c r="I68">
        <v>3.52</v>
      </c>
      <c r="J68">
        <f t="shared" ref="J68:J99" si="5">I68/I67-1</f>
        <v>-5.121293800539084E-2</v>
      </c>
    </row>
    <row r="69" spans="4:10" x14ac:dyDescent="0.3">
      <c r="D69" s="45">
        <v>45838</v>
      </c>
      <c r="E69" s="76">
        <v>25517.05</v>
      </c>
      <c r="F69" s="50">
        <f t="shared" si="4"/>
        <v>2.1830537524177185E-2</v>
      </c>
      <c r="H69" s="45">
        <v>45838</v>
      </c>
      <c r="I69">
        <v>3.34</v>
      </c>
      <c r="J69">
        <f t="shared" si="5"/>
        <v>-5.1136363636363646E-2</v>
      </c>
    </row>
    <row r="70" spans="4:10" x14ac:dyDescent="0.3">
      <c r="D70" s="45">
        <v>45845</v>
      </c>
      <c r="E70" s="76">
        <v>25461.3</v>
      </c>
      <c r="F70" s="50">
        <f t="shared" si="4"/>
        <v>-2.1848136833999554E-3</v>
      </c>
      <c r="H70" s="45">
        <v>45845</v>
      </c>
      <c r="I70">
        <v>3.17</v>
      </c>
      <c r="J70">
        <f t="shared" si="5"/>
        <v>-5.0898203592814384E-2</v>
      </c>
    </row>
    <row r="71" spans="4:10" x14ac:dyDescent="0.3">
      <c r="D71" s="45">
        <v>45852</v>
      </c>
      <c r="E71" s="76">
        <v>25082.3</v>
      </c>
      <c r="F71" s="50">
        <f t="shared" si="4"/>
        <v>-1.4885335784111553E-2</v>
      </c>
      <c r="H71" s="45">
        <v>45852</v>
      </c>
      <c r="I71">
        <v>3.01</v>
      </c>
      <c r="J71">
        <f t="shared" si="5"/>
        <v>-5.0473186119873836E-2</v>
      </c>
    </row>
    <row r="72" spans="4:10" x14ac:dyDescent="0.3">
      <c r="D72" s="45">
        <v>45859</v>
      </c>
      <c r="E72" s="76">
        <v>25090.7</v>
      </c>
      <c r="F72" s="50">
        <f t="shared" si="4"/>
        <v>3.3489751737292295E-4</v>
      </c>
      <c r="H72" s="45">
        <v>45859</v>
      </c>
      <c r="I72">
        <v>2.9</v>
      </c>
      <c r="J72">
        <f t="shared" si="5"/>
        <v>-3.6544850498338777E-2</v>
      </c>
    </row>
    <row r="73" spans="4:10" x14ac:dyDescent="0.3">
      <c r="D73" s="45">
        <v>45866</v>
      </c>
      <c r="E73" s="76">
        <v>24680.9</v>
      </c>
      <c r="F73" s="50">
        <f t="shared" si="4"/>
        <v>-1.6332744801858867E-2</v>
      </c>
      <c r="H73" s="45">
        <v>45866</v>
      </c>
      <c r="I73">
        <v>2.75</v>
      </c>
      <c r="J73">
        <f t="shared" si="5"/>
        <v>-5.1724137931034475E-2</v>
      </c>
    </row>
    <row r="74" spans="4:10" x14ac:dyDescent="0.3">
      <c r="D74" s="45">
        <v>45870</v>
      </c>
      <c r="E74" s="76">
        <v>24565.35</v>
      </c>
      <c r="F74" s="50">
        <f t="shared" si="4"/>
        <v>-4.681757958583499E-3</v>
      </c>
      <c r="H74" s="45">
        <v>45870</v>
      </c>
      <c r="I74">
        <v>2.88</v>
      </c>
      <c r="J74">
        <f t="shared" si="5"/>
        <v>4.7272727272727133E-2</v>
      </c>
    </row>
    <row r="75" spans="4:10" x14ac:dyDescent="0.3">
      <c r="D75" s="45">
        <v>45873</v>
      </c>
      <c r="E75" s="76">
        <v>24722.75</v>
      </c>
      <c r="F75" s="50">
        <f t="shared" si="4"/>
        <v>6.4073990397044422E-3</v>
      </c>
      <c r="H75" s="45">
        <v>45873</v>
      </c>
      <c r="I75">
        <v>3.02</v>
      </c>
      <c r="J75">
        <f t="shared" si="5"/>
        <v>4.861111111111116E-2</v>
      </c>
    </row>
    <row r="76" spans="4:10" x14ac:dyDescent="0.3">
      <c r="D76" s="45">
        <v>45874</v>
      </c>
      <c r="E76" s="76">
        <v>24649.55</v>
      </c>
      <c r="F76" s="50">
        <f t="shared" si="4"/>
        <v>-2.9608356675532299E-3</v>
      </c>
      <c r="H76" s="45">
        <v>45874</v>
      </c>
      <c r="I76">
        <v>3.17</v>
      </c>
      <c r="J76">
        <f t="shared" si="5"/>
        <v>4.9668874172185351E-2</v>
      </c>
    </row>
    <row r="77" spans="4:10" x14ac:dyDescent="0.3">
      <c r="D77" s="45">
        <v>45875</v>
      </c>
      <c r="E77" s="76">
        <v>24574.2</v>
      </c>
      <c r="F77" s="50">
        <f t="shared" si="4"/>
        <v>-3.0568509364268248E-3</v>
      </c>
      <c r="H77" s="45">
        <v>45875</v>
      </c>
      <c r="I77">
        <v>3.19</v>
      </c>
      <c r="J77">
        <f t="shared" si="5"/>
        <v>6.3091482649841879E-3</v>
      </c>
    </row>
    <row r="78" spans="4:10" x14ac:dyDescent="0.3">
      <c r="D78" s="45">
        <v>45876</v>
      </c>
      <c r="E78" s="76">
        <v>24596.15</v>
      </c>
      <c r="F78" s="50">
        <f t="shared" si="4"/>
        <v>8.9321320734758736E-4</v>
      </c>
      <c r="H78" s="45">
        <v>45876</v>
      </c>
      <c r="I78">
        <v>3.12</v>
      </c>
      <c r="J78">
        <f t="shared" si="5"/>
        <v>-2.1943573667711602E-2</v>
      </c>
    </row>
    <row r="79" spans="4:10" x14ac:dyDescent="0.3">
      <c r="D79" s="45">
        <v>45877</v>
      </c>
      <c r="E79" s="76">
        <v>24363.3</v>
      </c>
      <c r="F79" s="50">
        <f t="shared" si="4"/>
        <v>-9.4669287673071478E-3</v>
      </c>
      <c r="H79" s="45">
        <v>45877</v>
      </c>
      <c r="I79">
        <v>3.21</v>
      </c>
      <c r="J79">
        <f t="shared" si="5"/>
        <v>2.8846153846153744E-2</v>
      </c>
    </row>
    <row r="80" spans="4:10" x14ac:dyDescent="0.3">
      <c r="D80" s="45">
        <v>45880</v>
      </c>
      <c r="E80" s="76">
        <v>24585.05</v>
      </c>
      <c r="F80" s="50">
        <f t="shared" si="4"/>
        <v>9.1018047637225763E-3</v>
      </c>
      <c r="H80" s="45">
        <v>45880</v>
      </c>
      <c r="I80">
        <v>3.2</v>
      </c>
      <c r="J80">
        <f t="shared" si="5"/>
        <v>-3.1152647975076775E-3</v>
      </c>
    </row>
    <row r="81" spans="4:10" x14ac:dyDescent="0.3">
      <c r="D81" s="45">
        <v>45881</v>
      </c>
      <c r="E81" s="76">
        <v>24487.4</v>
      </c>
      <c r="F81" s="50">
        <f t="shared" si="4"/>
        <v>-3.9719260282162772E-3</v>
      </c>
      <c r="H81" s="45">
        <v>45881</v>
      </c>
      <c r="I81">
        <v>3.35</v>
      </c>
      <c r="J81">
        <f t="shared" si="5"/>
        <v>4.6875E-2</v>
      </c>
    </row>
    <row r="82" spans="4:10" x14ac:dyDescent="0.3">
      <c r="D82" s="45">
        <v>45882</v>
      </c>
      <c r="E82" s="76">
        <v>24619.35</v>
      </c>
      <c r="F82" s="50">
        <f t="shared" si="4"/>
        <v>5.3884855068320192E-3</v>
      </c>
      <c r="H82" s="45">
        <v>45882</v>
      </c>
      <c r="I82">
        <v>3.27</v>
      </c>
      <c r="J82">
        <f t="shared" si="5"/>
        <v>-2.3880597014925398E-2</v>
      </c>
    </row>
    <row r="83" spans="4:10" x14ac:dyDescent="0.3">
      <c r="D83" s="45">
        <v>45883</v>
      </c>
      <c r="E83" s="76">
        <v>24631.3</v>
      </c>
      <c r="F83" s="50">
        <f t="shared" si="4"/>
        <v>4.8539055661511732E-4</v>
      </c>
      <c r="H83" s="45">
        <v>45883</v>
      </c>
      <c r="I83">
        <v>3.14</v>
      </c>
      <c r="J83">
        <f t="shared" si="5"/>
        <v>-3.9755351681957207E-2</v>
      </c>
    </row>
    <row r="84" spans="4:10" x14ac:dyDescent="0.3">
      <c r="D84" s="45">
        <v>45887</v>
      </c>
      <c r="E84" s="76">
        <v>24876.95</v>
      </c>
      <c r="F84" s="50">
        <f t="shared" si="4"/>
        <v>9.9730830285045258E-3</v>
      </c>
      <c r="H84" s="45">
        <v>45887</v>
      </c>
      <c r="I84">
        <v>3.1</v>
      </c>
      <c r="J84">
        <f t="shared" si="5"/>
        <v>-1.2738853503184711E-2</v>
      </c>
    </row>
    <row r="85" spans="4:10" x14ac:dyDescent="0.3">
      <c r="D85" s="45">
        <v>45888</v>
      </c>
      <c r="E85" s="76">
        <v>24980.65</v>
      </c>
      <c r="F85" s="50">
        <f t="shared" si="4"/>
        <v>4.1685174428538474E-3</v>
      </c>
      <c r="H85" s="45">
        <v>45888</v>
      </c>
      <c r="I85">
        <v>3.05</v>
      </c>
      <c r="J85">
        <f t="shared" si="5"/>
        <v>-1.6129032258064613E-2</v>
      </c>
    </row>
    <row r="86" spans="4:10" x14ac:dyDescent="0.3">
      <c r="D86" s="45">
        <v>45889</v>
      </c>
      <c r="E86" s="76">
        <v>25050.55</v>
      </c>
      <c r="F86" s="50">
        <f t="shared" si="4"/>
        <v>2.7981657803137772E-3</v>
      </c>
      <c r="H86" s="45">
        <v>45889</v>
      </c>
      <c r="I86">
        <v>3.2</v>
      </c>
      <c r="J86">
        <f t="shared" si="5"/>
        <v>4.9180327868852514E-2</v>
      </c>
    </row>
    <row r="87" spans="4:10" x14ac:dyDescent="0.3">
      <c r="D87" s="45">
        <v>45890</v>
      </c>
      <c r="E87" s="76">
        <v>25083.75</v>
      </c>
      <c r="F87" s="50">
        <f t="shared" si="4"/>
        <v>1.3253202025504951E-3</v>
      </c>
      <c r="H87" s="45">
        <v>45890</v>
      </c>
      <c r="I87">
        <v>3.3</v>
      </c>
      <c r="J87">
        <f t="shared" si="5"/>
        <v>3.1249999999999778E-2</v>
      </c>
    </row>
    <row r="88" spans="4:10" x14ac:dyDescent="0.3">
      <c r="D88" s="45">
        <v>45891</v>
      </c>
      <c r="E88" s="76">
        <v>24870.1</v>
      </c>
      <c r="F88" s="50">
        <f t="shared" si="4"/>
        <v>-8.5174664872676997E-3</v>
      </c>
      <c r="H88" s="45">
        <v>45891</v>
      </c>
      <c r="I88">
        <v>3.17</v>
      </c>
      <c r="J88">
        <f t="shared" si="5"/>
        <v>-3.9393939393939315E-2</v>
      </c>
    </row>
    <row r="89" spans="4:10" x14ac:dyDescent="0.3">
      <c r="D89" s="45">
        <v>45894</v>
      </c>
      <c r="E89" s="76">
        <v>24967.75</v>
      </c>
      <c r="F89" s="50">
        <f t="shared" si="4"/>
        <v>3.9264015826234733E-3</v>
      </c>
      <c r="H89" s="45">
        <v>45894</v>
      </c>
      <c r="I89">
        <v>3.07</v>
      </c>
      <c r="J89">
        <f t="shared" si="5"/>
        <v>-3.1545741324921162E-2</v>
      </c>
    </row>
    <row r="90" spans="4:10" x14ac:dyDescent="0.3">
      <c r="D90" s="45">
        <v>45895</v>
      </c>
      <c r="E90" s="76">
        <v>24712.05</v>
      </c>
      <c r="F90" s="50">
        <f t="shared" si="4"/>
        <v>-1.0241211162399511E-2</v>
      </c>
      <c r="H90" s="45">
        <v>45895</v>
      </c>
      <c r="I90">
        <v>3.08</v>
      </c>
      <c r="J90">
        <f t="shared" si="5"/>
        <v>3.2573289902280145E-3</v>
      </c>
    </row>
    <row r="91" spans="4:10" x14ac:dyDescent="0.3">
      <c r="D91" s="45">
        <v>45897</v>
      </c>
      <c r="E91" s="76">
        <v>24500.9</v>
      </c>
      <c r="F91" s="50">
        <f t="shared" si="4"/>
        <v>-8.5444145669824056E-3</v>
      </c>
      <c r="H91" s="45">
        <v>45897</v>
      </c>
      <c r="I91">
        <v>3.01</v>
      </c>
      <c r="J91">
        <f t="shared" si="5"/>
        <v>-2.2727272727272818E-2</v>
      </c>
    </row>
    <row r="92" spans="4:10" x14ac:dyDescent="0.3">
      <c r="D92" s="45">
        <v>45898</v>
      </c>
      <c r="E92" s="76">
        <v>24426.85</v>
      </c>
      <c r="F92" s="50">
        <f t="shared" si="4"/>
        <v>-3.0223379549323415E-3</v>
      </c>
      <c r="H92" s="45">
        <v>45898</v>
      </c>
      <c r="I92">
        <v>3.03</v>
      </c>
      <c r="J92">
        <f t="shared" si="5"/>
        <v>6.6445182724252927E-3</v>
      </c>
    </row>
    <row r="93" spans="4:10" x14ac:dyDescent="0.3">
      <c r="D93" s="45">
        <v>45901</v>
      </c>
      <c r="E93" s="76">
        <v>24625.05</v>
      </c>
      <c r="F93" s="50">
        <f t="shared" si="4"/>
        <v>8.1140220699762455E-3</v>
      </c>
      <c r="H93" s="45">
        <v>45901</v>
      </c>
      <c r="I93">
        <v>3.04</v>
      </c>
      <c r="J93">
        <f t="shared" si="5"/>
        <v>3.3003300330034513E-3</v>
      </c>
    </row>
    <row r="94" spans="4:10" x14ac:dyDescent="0.3">
      <c r="D94" s="45">
        <v>45902</v>
      </c>
      <c r="E94" s="76">
        <v>24579.599999999999</v>
      </c>
      <c r="F94" s="50">
        <f t="shared" si="4"/>
        <v>-1.8456815316111319E-3</v>
      </c>
      <c r="H94" s="45">
        <v>45902</v>
      </c>
      <c r="I94">
        <v>3.09</v>
      </c>
      <c r="J94">
        <f t="shared" si="5"/>
        <v>1.6447368421052655E-2</v>
      </c>
    </row>
    <row r="95" spans="4:10" x14ac:dyDescent="0.3">
      <c r="D95" s="45">
        <v>45903</v>
      </c>
      <c r="E95" s="76">
        <v>24715.05</v>
      </c>
      <c r="F95" s="50">
        <f t="shared" si="4"/>
        <v>5.510667382707668E-3</v>
      </c>
      <c r="H95" s="45">
        <v>45903</v>
      </c>
      <c r="I95">
        <v>3.07</v>
      </c>
      <c r="J95">
        <f t="shared" si="5"/>
        <v>-6.4724919093851474E-3</v>
      </c>
    </row>
    <row r="96" spans="4:10" x14ac:dyDescent="0.3">
      <c r="D96" s="45">
        <v>45904</v>
      </c>
      <c r="E96" s="76">
        <v>24734.3</v>
      </c>
      <c r="F96" s="50">
        <f t="shared" si="4"/>
        <v>7.7887764742534671E-4</v>
      </c>
      <c r="H96" s="45">
        <v>45904</v>
      </c>
      <c r="I96">
        <v>3.12</v>
      </c>
      <c r="J96">
        <f t="shared" si="5"/>
        <v>1.6286644951140072E-2</v>
      </c>
    </row>
    <row r="97" spans="4:10" x14ac:dyDescent="0.3">
      <c r="D97" s="45">
        <v>45905</v>
      </c>
      <c r="E97" s="76">
        <v>24741</v>
      </c>
      <c r="F97" s="50">
        <f t="shared" si="4"/>
        <v>2.7087890095933709E-4</v>
      </c>
      <c r="H97" s="45">
        <v>45905</v>
      </c>
      <c r="I97">
        <v>3.09</v>
      </c>
      <c r="J97">
        <f t="shared" si="5"/>
        <v>-9.6153846153846922E-3</v>
      </c>
    </row>
    <row r="98" spans="4:10" x14ac:dyDescent="0.3">
      <c r="D98" s="45">
        <v>45908</v>
      </c>
      <c r="E98" s="76">
        <v>24773.15</v>
      </c>
      <c r="F98" s="50">
        <f t="shared" si="4"/>
        <v>1.2994624307829383E-3</v>
      </c>
      <c r="H98" s="45">
        <v>45908</v>
      </c>
      <c r="I98">
        <v>3.15</v>
      </c>
      <c r="J98">
        <f t="shared" si="5"/>
        <v>1.9417475728155331E-2</v>
      </c>
    </row>
    <row r="99" spans="4:10" x14ac:dyDescent="0.3">
      <c r="D99" s="45">
        <v>45909</v>
      </c>
      <c r="E99" s="76">
        <v>24868.6</v>
      </c>
      <c r="F99" s="50">
        <f t="shared" si="4"/>
        <v>3.8529617751474898E-3</v>
      </c>
      <c r="H99" s="45">
        <v>45909</v>
      </c>
      <c r="I99">
        <v>3.09</v>
      </c>
      <c r="J99">
        <f t="shared" si="5"/>
        <v>-1.9047619047619091E-2</v>
      </c>
    </row>
    <row r="100" spans="4:10" x14ac:dyDescent="0.3">
      <c r="D100" s="45">
        <v>45910</v>
      </c>
      <c r="E100" s="76">
        <v>24973.1</v>
      </c>
      <c r="F100" s="50">
        <f t="shared" ref="F100:F131" si="6">E100/E99-1</f>
        <v>4.2020861648826013E-3</v>
      </c>
      <c r="H100" s="45">
        <v>45910</v>
      </c>
      <c r="I100">
        <v>2.97</v>
      </c>
      <c r="J100">
        <f t="shared" ref="J100:J131" si="7">I100/I99-1</f>
        <v>-3.8834951456310551E-2</v>
      </c>
    </row>
    <row r="101" spans="4:10" x14ac:dyDescent="0.3">
      <c r="D101" s="45">
        <v>45911</v>
      </c>
      <c r="E101" s="76">
        <v>25005.5</v>
      </c>
      <c r="F101" s="50">
        <f t="shared" si="6"/>
        <v>1.2973959980939753E-3</v>
      </c>
      <c r="H101" s="45">
        <v>45911</v>
      </c>
      <c r="I101">
        <v>2.98</v>
      </c>
      <c r="J101">
        <f t="shared" si="7"/>
        <v>3.3670033670032407E-3</v>
      </c>
    </row>
    <row r="102" spans="4:10" x14ac:dyDescent="0.3">
      <c r="D102" s="45">
        <v>45912</v>
      </c>
      <c r="E102" s="76">
        <v>25114</v>
      </c>
      <c r="F102" s="50">
        <f t="shared" si="6"/>
        <v>4.3390454100098452E-3</v>
      </c>
      <c r="H102" s="45">
        <v>45912</v>
      </c>
      <c r="I102">
        <v>3.04</v>
      </c>
      <c r="J102">
        <f t="shared" si="7"/>
        <v>2.0134228187919545E-2</v>
      </c>
    </row>
    <row r="103" spans="4:10" x14ac:dyDescent="0.3">
      <c r="D103" s="45">
        <v>45915</v>
      </c>
      <c r="E103" s="76">
        <v>25069.200000000001</v>
      </c>
      <c r="F103" s="50">
        <f t="shared" si="6"/>
        <v>-1.7838655729871533E-3</v>
      </c>
      <c r="H103" s="45">
        <v>45915</v>
      </c>
      <c r="I103">
        <v>3.11</v>
      </c>
      <c r="J103">
        <f t="shared" si="7"/>
        <v>2.3026315789473673E-2</v>
      </c>
    </row>
    <row r="104" spans="4:10" x14ac:dyDescent="0.3">
      <c r="D104" s="45">
        <v>45916</v>
      </c>
      <c r="E104" s="76">
        <v>25239.1</v>
      </c>
      <c r="F104" s="50">
        <f t="shared" si="6"/>
        <v>6.7772405980246475E-3</v>
      </c>
      <c r="H104" s="45">
        <v>45916</v>
      </c>
      <c r="I104">
        <v>3.16</v>
      </c>
      <c r="J104">
        <f t="shared" si="7"/>
        <v>1.6077170418006492E-2</v>
      </c>
    </row>
    <row r="105" spans="4:10" x14ac:dyDescent="0.3">
      <c r="D105" s="45">
        <v>45917</v>
      </c>
      <c r="E105" s="76">
        <v>25330.25</v>
      </c>
      <c r="F105" s="50">
        <f t="shared" si="6"/>
        <v>3.6114599965926253E-3</v>
      </c>
      <c r="H105" s="45">
        <v>45917</v>
      </c>
      <c r="I105">
        <v>3.05</v>
      </c>
      <c r="J105">
        <f t="shared" si="7"/>
        <v>-3.4810126582278555E-2</v>
      </c>
    </row>
    <row r="106" spans="4:10" x14ac:dyDescent="0.3">
      <c r="D106" s="45">
        <v>45918</v>
      </c>
      <c r="E106" s="76">
        <v>25423.599999999999</v>
      </c>
      <c r="F106" s="50">
        <f t="shared" si="6"/>
        <v>3.685316962919849E-3</v>
      </c>
      <c r="H106" s="45">
        <v>45918</v>
      </c>
      <c r="I106">
        <v>3.13</v>
      </c>
      <c r="J106">
        <f t="shared" si="7"/>
        <v>2.6229508196721429E-2</v>
      </c>
    </row>
    <row r="107" spans="4:10" x14ac:dyDescent="0.3">
      <c r="D107" s="45">
        <v>45919</v>
      </c>
      <c r="E107" s="76">
        <v>25327.05</v>
      </c>
      <c r="F107" s="50">
        <f t="shared" si="6"/>
        <v>-3.7976525747730472E-3</v>
      </c>
      <c r="H107" s="45">
        <v>45919</v>
      </c>
      <c r="I107">
        <v>3.07</v>
      </c>
      <c r="J107">
        <f t="shared" si="7"/>
        <v>-1.9169329073482455E-2</v>
      </c>
    </row>
    <row r="108" spans="4:10" x14ac:dyDescent="0.3">
      <c r="D108" s="45">
        <v>45922</v>
      </c>
      <c r="E108" s="76">
        <v>25202.35</v>
      </c>
      <c r="F108" s="50">
        <f t="shared" si="6"/>
        <v>-4.9235896008418267E-3</v>
      </c>
      <c r="H108" s="45">
        <v>45922</v>
      </c>
      <c r="I108">
        <v>3.1</v>
      </c>
      <c r="J108">
        <f t="shared" si="7"/>
        <v>9.7719869706840434E-3</v>
      </c>
    </row>
    <row r="109" spans="4:10" x14ac:dyDescent="0.3">
      <c r="D109" s="45">
        <v>45923</v>
      </c>
      <c r="E109" s="76">
        <v>25169.5</v>
      </c>
      <c r="F109" s="50">
        <f t="shared" si="6"/>
        <v>-1.3034498766979485E-3</v>
      </c>
      <c r="H109" s="45">
        <v>45923</v>
      </c>
      <c r="I109">
        <v>3.01</v>
      </c>
      <c r="J109">
        <f t="shared" si="7"/>
        <v>-2.9032258064516259E-2</v>
      </c>
    </row>
    <row r="110" spans="4:10" x14ac:dyDescent="0.3">
      <c r="D110" s="45">
        <v>45924</v>
      </c>
      <c r="E110" s="76">
        <v>25056.9</v>
      </c>
      <c r="F110" s="50">
        <f t="shared" si="6"/>
        <v>-4.4736685273842891E-3</v>
      </c>
      <c r="H110" s="45">
        <v>45924</v>
      </c>
      <c r="I110">
        <v>3.04</v>
      </c>
      <c r="J110">
        <f t="shared" si="7"/>
        <v>9.9667774086380501E-3</v>
      </c>
    </row>
    <row r="111" spans="4:10" x14ac:dyDescent="0.3">
      <c r="D111" s="45">
        <v>45925</v>
      </c>
      <c r="E111" s="76">
        <v>24890.85</v>
      </c>
      <c r="F111" s="50">
        <f t="shared" si="6"/>
        <v>-6.6269171365972435E-3</v>
      </c>
      <c r="H111" s="45">
        <v>45925</v>
      </c>
      <c r="I111">
        <v>2.91</v>
      </c>
      <c r="J111">
        <f t="shared" si="7"/>
        <v>-4.2763157894736836E-2</v>
      </c>
    </row>
    <row r="112" spans="4:10" x14ac:dyDescent="0.3">
      <c r="D112" s="45">
        <v>45926</v>
      </c>
      <c r="E112" s="76">
        <v>24654.7</v>
      </c>
      <c r="F112" s="50">
        <f t="shared" si="6"/>
        <v>-9.4874220848222279E-3</v>
      </c>
      <c r="H112" s="45">
        <v>45926</v>
      </c>
      <c r="I112">
        <v>2.97</v>
      </c>
      <c r="J112">
        <f t="shared" si="7"/>
        <v>2.0618556701030855E-2</v>
      </c>
    </row>
    <row r="113" spans="4:10" x14ac:dyDescent="0.3">
      <c r="D113" s="45">
        <v>45929</v>
      </c>
      <c r="E113" s="76">
        <v>24634.9</v>
      </c>
      <c r="F113" s="50">
        <f t="shared" si="6"/>
        <v>-8.0309231099950917E-4</v>
      </c>
      <c r="H113" s="45">
        <v>45929</v>
      </c>
      <c r="I113">
        <v>2.94</v>
      </c>
      <c r="J113">
        <f t="shared" si="7"/>
        <v>-1.0101010101010166E-2</v>
      </c>
    </row>
    <row r="114" spans="4:10" x14ac:dyDescent="0.3">
      <c r="D114" s="45">
        <v>45930</v>
      </c>
      <c r="E114" s="76">
        <v>24611.1</v>
      </c>
      <c r="F114" s="50">
        <f t="shared" si="6"/>
        <v>-9.6610905666361102E-4</v>
      </c>
      <c r="H114" s="45">
        <v>45930</v>
      </c>
      <c r="I114">
        <v>2.95</v>
      </c>
      <c r="J114">
        <f t="shared" si="7"/>
        <v>3.4013605442178019E-3</v>
      </c>
    </row>
    <row r="115" spans="4:10" x14ac:dyDescent="0.3">
      <c r="D115" s="45">
        <v>45931</v>
      </c>
      <c r="E115" s="76">
        <v>24836.3</v>
      </c>
      <c r="F115" s="50">
        <f t="shared" si="6"/>
        <v>9.1503427315318131E-3</v>
      </c>
      <c r="H115" s="45">
        <v>45931</v>
      </c>
      <c r="I115">
        <v>2.95</v>
      </c>
      <c r="J115">
        <f t="shared" si="7"/>
        <v>0</v>
      </c>
    </row>
    <row r="116" spans="4:10" x14ac:dyDescent="0.3">
      <c r="D116" s="45">
        <v>45933</v>
      </c>
      <c r="E116" s="76">
        <v>24894.25</v>
      </c>
      <c r="F116" s="50">
        <f t="shared" si="6"/>
        <v>2.3332783063501061E-3</v>
      </c>
      <c r="H116" s="45">
        <v>45933</v>
      </c>
      <c r="I116">
        <v>3.01</v>
      </c>
      <c r="J116">
        <f t="shared" si="7"/>
        <v>2.0338983050847359E-2</v>
      </c>
    </row>
    <row r="117" spans="4:10" x14ac:dyDescent="0.3">
      <c r="D117" s="45">
        <v>45936</v>
      </c>
      <c r="E117" s="76">
        <v>25077.65</v>
      </c>
      <c r="F117" s="50">
        <f t="shared" si="6"/>
        <v>7.3671630999125881E-3</v>
      </c>
      <c r="H117" s="45">
        <v>45936</v>
      </c>
      <c r="I117">
        <v>2.94</v>
      </c>
      <c r="J117">
        <f t="shared" si="7"/>
        <v>-2.3255813953488302E-2</v>
      </c>
    </row>
    <row r="118" spans="4:10" x14ac:dyDescent="0.3">
      <c r="D118" s="45">
        <v>45937</v>
      </c>
      <c r="E118" s="76">
        <v>25108.3</v>
      </c>
      <c r="F118" s="50">
        <f t="shared" si="6"/>
        <v>1.222203834888802E-3</v>
      </c>
      <c r="H118" s="45">
        <v>45937</v>
      </c>
      <c r="I118">
        <v>2.89</v>
      </c>
      <c r="J118">
        <f t="shared" si="7"/>
        <v>-1.7006802721088343E-2</v>
      </c>
    </row>
    <row r="119" spans="4:10" x14ac:dyDescent="0.3">
      <c r="D119" s="45">
        <v>45938</v>
      </c>
      <c r="E119" s="76">
        <v>25046.15</v>
      </c>
      <c r="F119" s="50">
        <f t="shared" si="6"/>
        <v>-2.4752770996043783E-3</v>
      </c>
      <c r="H119" s="45">
        <v>45938</v>
      </c>
      <c r="I119">
        <v>2.88</v>
      </c>
      <c r="J119">
        <f t="shared" si="7"/>
        <v>-3.4602076124568004E-3</v>
      </c>
    </row>
    <row r="120" spans="4:10" x14ac:dyDescent="0.3">
      <c r="D120" s="45">
        <v>45939</v>
      </c>
      <c r="E120" s="76">
        <v>25181.8</v>
      </c>
      <c r="F120" s="50">
        <f t="shared" si="6"/>
        <v>5.4160020601967673E-3</v>
      </c>
      <c r="H120" s="45">
        <v>45939</v>
      </c>
      <c r="I120">
        <v>2.88</v>
      </c>
      <c r="J120">
        <f t="shared" si="7"/>
        <v>0</v>
      </c>
    </row>
    <row r="121" spans="4:10" x14ac:dyDescent="0.3">
      <c r="D121" s="45">
        <v>45940</v>
      </c>
      <c r="E121" s="76">
        <v>25285.35</v>
      </c>
      <c r="F121" s="50">
        <f t="shared" si="6"/>
        <v>4.1120968318388851E-3</v>
      </c>
      <c r="H121" s="45">
        <v>45940</v>
      </c>
      <c r="I121">
        <v>2.91</v>
      </c>
      <c r="J121">
        <f t="shared" si="7"/>
        <v>1.0416666666666741E-2</v>
      </c>
    </row>
    <row r="122" spans="4:10" x14ac:dyDescent="0.3">
      <c r="D122" s="45">
        <v>45943</v>
      </c>
      <c r="E122" s="76">
        <v>25227.35</v>
      </c>
      <c r="F122" s="50">
        <f t="shared" si="6"/>
        <v>-2.2938183572701609E-3</v>
      </c>
      <c r="H122" s="45">
        <v>45943</v>
      </c>
      <c r="I122">
        <v>2.9</v>
      </c>
      <c r="J122">
        <f t="shared" si="7"/>
        <v>-3.4364261168385868E-3</v>
      </c>
    </row>
    <row r="123" spans="4:10" x14ac:dyDescent="0.3">
      <c r="D123" s="45">
        <v>45944</v>
      </c>
      <c r="E123" s="76">
        <v>25145.5</v>
      </c>
      <c r="F123" s="50">
        <f t="shared" si="6"/>
        <v>-3.2444945664129587E-3</v>
      </c>
      <c r="H123" s="45">
        <v>45944</v>
      </c>
      <c r="I123">
        <v>2.89</v>
      </c>
      <c r="J123">
        <f t="shared" si="7"/>
        <v>-3.4482758620688614E-3</v>
      </c>
    </row>
    <row r="124" spans="4:10" x14ac:dyDescent="0.3">
      <c r="D124" s="45">
        <v>45945</v>
      </c>
      <c r="E124" s="76">
        <v>25323.55</v>
      </c>
      <c r="F124" s="50">
        <f t="shared" si="6"/>
        <v>7.0807898033444783E-3</v>
      </c>
      <c r="H124" s="45">
        <v>45945</v>
      </c>
      <c r="I124">
        <v>2.9</v>
      </c>
      <c r="J124">
        <f t="shared" si="7"/>
        <v>3.4602076124565784E-3</v>
      </c>
    </row>
    <row r="125" spans="4:10" x14ac:dyDescent="0.3">
      <c r="D125" s="45">
        <v>45946</v>
      </c>
      <c r="E125" s="76">
        <v>25585.3</v>
      </c>
      <c r="F125" s="50">
        <f t="shared" si="6"/>
        <v>1.0336228530360092E-2</v>
      </c>
      <c r="H125" s="45">
        <v>45946</v>
      </c>
      <c r="I125">
        <v>2.94</v>
      </c>
      <c r="J125">
        <f t="shared" si="7"/>
        <v>1.379310344827589E-2</v>
      </c>
    </row>
    <row r="126" spans="4:10" x14ac:dyDescent="0.3">
      <c r="D126" s="45">
        <v>45947</v>
      </c>
      <c r="E126" s="76">
        <v>25709.85</v>
      </c>
      <c r="F126" s="50">
        <f t="shared" si="6"/>
        <v>4.8680296889229702E-3</v>
      </c>
      <c r="H126" s="45">
        <v>45947</v>
      </c>
      <c r="I126">
        <v>2.81</v>
      </c>
      <c r="J126">
        <f t="shared" si="7"/>
        <v>-4.421768707482987E-2</v>
      </c>
    </row>
    <row r="127" spans="4:10" x14ac:dyDescent="0.3">
      <c r="D127" s="45">
        <v>45950</v>
      </c>
      <c r="E127" s="76">
        <v>25843.15</v>
      </c>
      <c r="F127" s="50">
        <f t="shared" si="6"/>
        <v>5.1847832640019575E-3</v>
      </c>
      <c r="H127" s="45">
        <v>45950</v>
      </c>
      <c r="I127">
        <v>2.8</v>
      </c>
      <c r="J127">
        <f t="shared" si="7"/>
        <v>-3.558718861210064E-3</v>
      </c>
    </row>
    <row r="128" spans="4:10" x14ac:dyDescent="0.3">
      <c r="D128" s="45">
        <v>45951</v>
      </c>
      <c r="E128" s="76">
        <v>25868.6</v>
      </c>
      <c r="F128" s="50">
        <f t="shared" si="6"/>
        <v>9.8478707123539344E-4</v>
      </c>
      <c r="H128" s="45">
        <v>45951</v>
      </c>
      <c r="I128">
        <v>2.83</v>
      </c>
      <c r="J128">
        <f t="shared" si="7"/>
        <v>1.0714285714285898E-2</v>
      </c>
    </row>
    <row r="129" spans="4:10" x14ac:dyDescent="0.3">
      <c r="D129" s="45">
        <v>45953</v>
      </c>
      <c r="E129" s="76">
        <v>25891.4</v>
      </c>
      <c r="F129" s="50">
        <f t="shared" si="6"/>
        <v>8.8137742282157205E-4</v>
      </c>
      <c r="H129" s="45">
        <v>45953</v>
      </c>
      <c r="I129">
        <v>2.88</v>
      </c>
      <c r="J129">
        <f t="shared" si="7"/>
        <v>1.7667844522968101E-2</v>
      </c>
    </row>
    <row r="130" spans="4:10" x14ac:dyDescent="0.3">
      <c r="D130" s="45">
        <v>45954</v>
      </c>
      <c r="E130" s="76">
        <v>25795.15</v>
      </c>
      <c r="F130" s="50">
        <f t="shared" si="6"/>
        <v>-3.7174505820465331E-3</v>
      </c>
      <c r="H130" s="45">
        <v>45954</v>
      </c>
      <c r="I130">
        <v>2.83</v>
      </c>
      <c r="J130">
        <f t="shared" si="7"/>
        <v>-1.7361111111111049E-2</v>
      </c>
    </row>
    <row r="131" spans="4:10" x14ac:dyDescent="0.3">
      <c r="D131" s="45">
        <v>45957</v>
      </c>
      <c r="E131" s="76">
        <v>25966.05</v>
      </c>
      <c r="F131" s="50">
        <f t="shared" si="6"/>
        <v>6.6252764570082778E-3</v>
      </c>
      <c r="H131" s="45">
        <v>45957</v>
      </c>
      <c r="I131">
        <v>2.89</v>
      </c>
      <c r="J131">
        <f t="shared" si="7"/>
        <v>2.1201413427561766E-2</v>
      </c>
    </row>
    <row r="132" spans="4:10" x14ac:dyDescent="0.3">
      <c r="D132" s="45">
        <v>45958</v>
      </c>
      <c r="E132" s="76">
        <v>25936.2</v>
      </c>
      <c r="F132" s="50">
        <f t="shared" ref="F132:F163" si="8">E132/E131-1</f>
        <v>-1.1495780066663741E-3</v>
      </c>
      <c r="H132" s="45">
        <v>45958</v>
      </c>
      <c r="I132">
        <v>2.87</v>
      </c>
      <c r="J132">
        <f t="shared" ref="J132:J163" si="9">I132/I131-1</f>
        <v>-6.9204152249134898E-3</v>
      </c>
    </row>
    <row r="133" spans="4:10" x14ac:dyDescent="0.3">
      <c r="D133" s="45">
        <v>45959</v>
      </c>
      <c r="E133" s="76">
        <v>26053.9</v>
      </c>
      <c r="F133" s="50">
        <f t="shared" si="8"/>
        <v>4.5380587749941359E-3</v>
      </c>
      <c r="H133" s="45">
        <v>45959</v>
      </c>
      <c r="I133">
        <v>2.87</v>
      </c>
      <c r="J133">
        <f t="shared" si="9"/>
        <v>0</v>
      </c>
    </row>
    <row r="134" spans="4:10" x14ac:dyDescent="0.3">
      <c r="D134" s="45">
        <v>45960</v>
      </c>
      <c r="E134" s="76">
        <v>25877.85</v>
      </c>
      <c r="F134" s="50">
        <f t="shared" si="8"/>
        <v>-6.7571457632064069E-3</v>
      </c>
      <c r="H134" s="45">
        <v>45960</v>
      </c>
      <c r="I134">
        <v>2.8</v>
      </c>
      <c r="J134">
        <f t="shared" si="9"/>
        <v>-2.4390243902439157E-2</v>
      </c>
    </row>
    <row r="135" spans="4:10" x14ac:dyDescent="0.3">
      <c r="D135" s="45">
        <v>45961</v>
      </c>
      <c r="E135" s="76">
        <v>25722.1</v>
      </c>
      <c r="F135" s="50">
        <f t="shared" si="8"/>
        <v>-6.0186607465457787E-3</v>
      </c>
      <c r="H135" s="45">
        <v>45961</v>
      </c>
      <c r="I135">
        <v>2.78</v>
      </c>
      <c r="J135">
        <f t="shared" si="9"/>
        <v>-7.1428571428571175E-3</v>
      </c>
    </row>
    <row r="136" spans="4:10" x14ac:dyDescent="0.3">
      <c r="D136" s="45">
        <v>45964</v>
      </c>
      <c r="E136" s="76">
        <v>25763.35</v>
      </c>
      <c r="F136" s="50">
        <f t="shared" si="8"/>
        <v>1.6036793263380922E-3</v>
      </c>
      <c r="H136" s="45">
        <v>45964</v>
      </c>
      <c r="I136">
        <v>2.74</v>
      </c>
      <c r="J136">
        <f t="shared" si="9"/>
        <v>-1.4388489208632893E-2</v>
      </c>
    </row>
    <row r="137" spans="4:10" x14ac:dyDescent="0.3">
      <c r="D137" s="45">
        <v>45965</v>
      </c>
      <c r="E137" s="76">
        <v>25597.65</v>
      </c>
      <c r="F137" s="50">
        <f t="shared" si="8"/>
        <v>-6.4316170063286604E-3</v>
      </c>
      <c r="H137" s="45">
        <v>45965</v>
      </c>
      <c r="I137">
        <v>2.71</v>
      </c>
      <c r="J137">
        <f t="shared" si="9"/>
        <v>-1.0948905109489093E-2</v>
      </c>
    </row>
    <row r="138" spans="4:10" x14ac:dyDescent="0.3">
      <c r="D138" s="45">
        <v>45967</v>
      </c>
      <c r="E138" s="76">
        <v>25509.7</v>
      </c>
      <c r="F138" s="50">
        <f t="shared" si="8"/>
        <v>-3.4358622764198987E-3</v>
      </c>
      <c r="H138" s="45">
        <v>45967</v>
      </c>
      <c r="I138">
        <v>2.74</v>
      </c>
      <c r="J138">
        <f t="shared" si="9"/>
        <v>1.1070110701107083E-2</v>
      </c>
    </row>
    <row r="139" spans="4:10" x14ac:dyDescent="0.3">
      <c r="D139" s="45">
        <v>45968</v>
      </c>
      <c r="E139" s="76">
        <v>25492.3</v>
      </c>
      <c r="F139" s="50">
        <f t="shared" si="8"/>
        <v>-6.8209347816716726E-4</v>
      </c>
      <c r="H139" s="45">
        <v>45968</v>
      </c>
      <c r="I139">
        <v>2.73</v>
      </c>
      <c r="J139">
        <f t="shared" si="9"/>
        <v>-3.6496350364964014E-3</v>
      </c>
    </row>
    <row r="140" spans="4:10" x14ac:dyDescent="0.3">
      <c r="D140" s="45">
        <v>45971</v>
      </c>
      <c r="E140" s="76">
        <v>25574.35</v>
      </c>
      <c r="F140" s="50">
        <f t="shared" si="8"/>
        <v>3.2186189555276634E-3</v>
      </c>
      <c r="H140" s="45">
        <v>45971</v>
      </c>
      <c r="I140">
        <v>2.82</v>
      </c>
      <c r="J140">
        <f t="shared" si="9"/>
        <v>3.296703296703285E-2</v>
      </c>
    </row>
    <row r="141" spans="4:10" x14ac:dyDescent="0.3">
      <c r="D141" s="45">
        <v>45972</v>
      </c>
      <c r="E141" s="76">
        <v>25694.95</v>
      </c>
      <c r="F141" s="50">
        <f t="shared" si="8"/>
        <v>4.7156623726507529E-3</v>
      </c>
      <c r="H141" s="45">
        <v>45972</v>
      </c>
      <c r="I141">
        <v>2.8</v>
      </c>
      <c r="J141">
        <f t="shared" si="9"/>
        <v>-7.0921985815602939E-3</v>
      </c>
    </row>
    <row r="142" spans="4:10" x14ac:dyDescent="0.3">
      <c r="D142" s="45">
        <v>45973</v>
      </c>
      <c r="E142" s="76">
        <v>25875.8</v>
      </c>
      <c r="F142" s="50">
        <f t="shared" si="8"/>
        <v>7.0383480022337963E-3</v>
      </c>
      <c r="H142" s="45">
        <v>45973</v>
      </c>
      <c r="I142">
        <v>2.89</v>
      </c>
      <c r="J142">
        <f t="shared" si="9"/>
        <v>3.2142857142857251E-2</v>
      </c>
    </row>
    <row r="143" spans="4:10" x14ac:dyDescent="0.3">
      <c r="D143" s="45">
        <v>45974</v>
      </c>
      <c r="E143" s="76">
        <v>25879.15</v>
      </c>
      <c r="F143" s="50">
        <f t="shared" si="8"/>
        <v>1.2946459626372864E-4</v>
      </c>
      <c r="H143" s="45">
        <v>45974</v>
      </c>
      <c r="I143">
        <v>2.96</v>
      </c>
      <c r="J143">
        <f t="shared" si="9"/>
        <v>2.4221453287197159E-2</v>
      </c>
    </row>
    <row r="144" spans="4:10" x14ac:dyDescent="0.3">
      <c r="D144" s="45">
        <v>45975</v>
      </c>
      <c r="E144" s="76">
        <v>25910.05</v>
      </c>
      <c r="F144" s="50">
        <f t="shared" si="8"/>
        <v>1.194011395273753E-3</v>
      </c>
      <c r="H144" s="45">
        <v>45975</v>
      </c>
      <c r="I144">
        <v>2.94</v>
      </c>
      <c r="J144">
        <f t="shared" si="9"/>
        <v>-6.7567567567567988E-3</v>
      </c>
    </row>
    <row r="145" spans="4:10" x14ac:dyDescent="0.3">
      <c r="D145" s="45">
        <v>45978</v>
      </c>
      <c r="E145" s="76">
        <v>26013.45</v>
      </c>
      <c r="F145" s="50">
        <f t="shared" si="8"/>
        <v>3.9907294659795589E-3</v>
      </c>
      <c r="H145" s="45">
        <v>45978</v>
      </c>
      <c r="I145">
        <v>2.85</v>
      </c>
      <c r="J145">
        <f t="shared" si="9"/>
        <v>-3.0612244897959107E-2</v>
      </c>
    </row>
    <row r="146" spans="4:10" x14ac:dyDescent="0.3">
      <c r="D146" s="45">
        <v>45979</v>
      </c>
      <c r="E146" s="76">
        <v>25910.05</v>
      </c>
      <c r="F146" s="50">
        <f t="shared" si="8"/>
        <v>-3.9748668477268545E-3</v>
      </c>
      <c r="H146" s="45">
        <v>45979</v>
      </c>
      <c r="I146">
        <v>2.71</v>
      </c>
      <c r="J146">
        <f t="shared" si="9"/>
        <v>-4.9122807017543901E-2</v>
      </c>
    </row>
    <row r="147" spans="4:10" x14ac:dyDescent="0.3">
      <c r="D147" s="45">
        <v>45980</v>
      </c>
      <c r="E147" s="76">
        <v>26052.65</v>
      </c>
      <c r="F147" s="50">
        <f t="shared" si="8"/>
        <v>5.5036559172985111E-3</v>
      </c>
      <c r="H147" s="45">
        <v>45980</v>
      </c>
      <c r="I147">
        <v>2.68</v>
      </c>
      <c r="J147">
        <f t="shared" si="9"/>
        <v>-1.1070110701106972E-2</v>
      </c>
    </row>
    <row r="148" spans="4:10" x14ac:dyDescent="0.3">
      <c r="D148" s="45">
        <v>45981</v>
      </c>
      <c r="E148" s="76">
        <v>26192.15</v>
      </c>
      <c r="F148" s="50">
        <f t="shared" si="8"/>
        <v>5.3545416685059077E-3</v>
      </c>
      <c r="H148" s="45">
        <v>45981</v>
      </c>
      <c r="I148">
        <v>2.74</v>
      </c>
      <c r="J148">
        <f t="shared" si="9"/>
        <v>2.2388059701492491E-2</v>
      </c>
    </row>
    <row r="149" spans="4:10" x14ac:dyDescent="0.3">
      <c r="D149" s="45">
        <v>45982</v>
      </c>
      <c r="E149" s="76">
        <v>26068.15</v>
      </c>
      <c r="F149" s="50">
        <f t="shared" si="8"/>
        <v>-4.7342428933859759E-3</v>
      </c>
      <c r="H149" s="45">
        <v>45982</v>
      </c>
      <c r="I149">
        <v>2.69</v>
      </c>
      <c r="J149">
        <f t="shared" si="9"/>
        <v>-1.8248175182481896E-2</v>
      </c>
    </row>
    <row r="150" spans="4:10" x14ac:dyDescent="0.3">
      <c r="D150" s="45">
        <v>45985</v>
      </c>
      <c r="E150" s="76">
        <v>25959.5</v>
      </c>
      <c r="F150" s="50">
        <f t="shared" si="8"/>
        <v>-4.1679213906625767E-3</v>
      </c>
      <c r="H150" s="45">
        <v>45985</v>
      </c>
      <c r="I150">
        <v>2.67</v>
      </c>
      <c r="J150">
        <f t="shared" si="9"/>
        <v>-7.4349442379182396E-3</v>
      </c>
    </row>
    <row r="151" spans="4:10" x14ac:dyDescent="0.3">
      <c r="D151" s="45">
        <v>45986</v>
      </c>
      <c r="E151" s="76">
        <v>25884.799999999999</v>
      </c>
      <c r="F151" s="50">
        <f t="shared" si="8"/>
        <v>-2.8775592750245327E-3</v>
      </c>
      <c r="H151" s="45">
        <v>45986</v>
      </c>
      <c r="I151">
        <v>2.65</v>
      </c>
      <c r="J151">
        <f t="shared" si="9"/>
        <v>-7.4906367041198685E-3</v>
      </c>
    </row>
    <row r="152" spans="4:10" x14ac:dyDescent="0.3">
      <c r="D152" s="45">
        <v>45987</v>
      </c>
      <c r="E152" s="76">
        <v>26205.3</v>
      </c>
      <c r="F152" s="50">
        <f t="shared" si="8"/>
        <v>1.238178390406719E-2</v>
      </c>
      <c r="H152" s="45">
        <v>45987</v>
      </c>
      <c r="I152">
        <v>2.63</v>
      </c>
      <c r="J152">
        <f t="shared" si="9"/>
        <v>-7.547169811320753E-3</v>
      </c>
    </row>
    <row r="153" spans="4:10" x14ac:dyDescent="0.3">
      <c r="D153" s="45">
        <v>45988</v>
      </c>
      <c r="E153" s="76">
        <v>26215.55</v>
      </c>
      <c r="F153" s="50">
        <f t="shared" si="8"/>
        <v>3.9114224985015156E-4</v>
      </c>
      <c r="H153" s="45">
        <v>45988</v>
      </c>
      <c r="I153">
        <v>2.64</v>
      </c>
      <c r="J153">
        <f t="shared" si="9"/>
        <v>3.8022813688214363E-3</v>
      </c>
    </row>
    <row r="154" spans="4:10" x14ac:dyDescent="0.3">
      <c r="D154" s="45">
        <v>45989</v>
      </c>
      <c r="E154" s="76">
        <v>26202.95</v>
      </c>
      <c r="F154" s="50">
        <f t="shared" si="8"/>
        <v>-4.806307706685109E-4</v>
      </c>
      <c r="H154" s="45">
        <v>45989</v>
      </c>
      <c r="I154">
        <v>2.62</v>
      </c>
      <c r="J154">
        <f t="shared" si="9"/>
        <v>-7.575757575757569E-3</v>
      </c>
    </row>
    <row r="155" spans="4:10" x14ac:dyDescent="0.3">
      <c r="D155" s="45">
        <v>45992</v>
      </c>
      <c r="E155" s="76">
        <v>26175.75</v>
      </c>
      <c r="F155" s="50">
        <f t="shared" si="8"/>
        <v>-1.0380510591364578E-3</v>
      </c>
      <c r="H155" s="45">
        <v>45992</v>
      </c>
      <c r="I155">
        <v>2.57</v>
      </c>
      <c r="J155">
        <f t="shared" si="9"/>
        <v>-1.9083969465648942E-2</v>
      </c>
    </row>
    <row r="156" spans="4:10" x14ac:dyDescent="0.3">
      <c r="D156" s="45">
        <v>45993</v>
      </c>
      <c r="E156" s="76">
        <v>26032.2</v>
      </c>
      <c r="F156" s="50">
        <f t="shared" si="8"/>
        <v>-5.4840835506145824E-3</v>
      </c>
      <c r="H156" s="45">
        <v>45993</v>
      </c>
      <c r="I156">
        <v>2.64</v>
      </c>
      <c r="J156">
        <f t="shared" si="9"/>
        <v>2.7237354085603238E-2</v>
      </c>
    </row>
    <row r="157" spans="4:10" x14ac:dyDescent="0.3">
      <c r="D157" s="45">
        <v>45994</v>
      </c>
      <c r="E157" s="76">
        <v>25986</v>
      </c>
      <c r="F157" s="50">
        <f t="shared" si="8"/>
        <v>-1.7747251480858539E-3</v>
      </c>
      <c r="H157" s="45">
        <v>45994</v>
      </c>
      <c r="I157">
        <v>2.58</v>
      </c>
      <c r="J157">
        <f t="shared" si="9"/>
        <v>-2.2727272727272707E-2</v>
      </c>
    </row>
    <row r="158" spans="4:10" x14ac:dyDescent="0.3">
      <c r="D158" s="45">
        <v>45995</v>
      </c>
      <c r="E158" s="76">
        <v>26033.75</v>
      </c>
      <c r="F158" s="50">
        <f t="shared" si="8"/>
        <v>1.8375278996383138E-3</v>
      </c>
      <c r="H158" s="45">
        <v>45995</v>
      </c>
      <c r="I158">
        <v>2.52</v>
      </c>
      <c r="J158">
        <f t="shared" si="9"/>
        <v>-2.3255813953488413E-2</v>
      </c>
    </row>
    <row r="159" spans="4:10" x14ac:dyDescent="0.3">
      <c r="D159" s="45">
        <v>45996</v>
      </c>
      <c r="E159" s="76">
        <v>26186.45</v>
      </c>
      <c r="F159" s="50">
        <f t="shared" si="8"/>
        <v>5.8654631007826197E-3</v>
      </c>
      <c r="H159" s="45">
        <v>45996</v>
      </c>
      <c r="I159">
        <v>2.5</v>
      </c>
      <c r="J159">
        <f t="shared" si="9"/>
        <v>-7.9365079365079083E-3</v>
      </c>
    </row>
    <row r="160" spans="4:10" x14ac:dyDescent="0.3">
      <c r="D160" s="45">
        <v>45999</v>
      </c>
      <c r="E160" s="76">
        <v>25960.55</v>
      </c>
      <c r="F160" s="50">
        <f t="shared" si="8"/>
        <v>-8.626598870790092E-3</v>
      </c>
      <c r="H160" s="45">
        <v>45999</v>
      </c>
      <c r="I160">
        <v>2.44</v>
      </c>
      <c r="J160">
        <f t="shared" si="9"/>
        <v>-2.4000000000000021E-2</v>
      </c>
    </row>
    <row r="161" spans="4:10" x14ac:dyDescent="0.3">
      <c r="D161" s="45">
        <v>46000</v>
      </c>
      <c r="E161" s="76">
        <v>25839.65</v>
      </c>
      <c r="F161" s="50">
        <f t="shared" si="8"/>
        <v>-4.6570662023723841E-3</v>
      </c>
      <c r="H161" s="45">
        <v>46000</v>
      </c>
      <c r="I161">
        <v>2.4</v>
      </c>
      <c r="J161">
        <f t="shared" si="9"/>
        <v>-1.6393442622950838E-2</v>
      </c>
    </row>
    <row r="162" spans="4:10" x14ac:dyDescent="0.3">
      <c r="D162" s="45">
        <v>46001</v>
      </c>
      <c r="E162" s="76">
        <v>25758</v>
      </c>
      <c r="F162" s="50">
        <f t="shared" si="8"/>
        <v>-3.15987252149319E-3</v>
      </c>
      <c r="H162" s="45">
        <v>46001</v>
      </c>
      <c r="I162">
        <v>2.42</v>
      </c>
      <c r="J162">
        <f t="shared" si="9"/>
        <v>8.3333333333333037E-3</v>
      </c>
    </row>
    <row r="163" spans="4:10" x14ac:dyDescent="0.3">
      <c r="D163" s="45">
        <v>46002</v>
      </c>
      <c r="E163" s="76">
        <v>25898.55</v>
      </c>
      <c r="F163" s="50">
        <f t="shared" si="8"/>
        <v>5.4565571861169282E-3</v>
      </c>
      <c r="H163" s="45">
        <v>46002</v>
      </c>
      <c r="I163">
        <v>2.4</v>
      </c>
      <c r="J163">
        <f t="shared" si="9"/>
        <v>-8.2644628099173278E-3</v>
      </c>
    </row>
    <row r="164" spans="4:10" x14ac:dyDescent="0.3">
      <c r="D164" s="45">
        <v>46003</v>
      </c>
      <c r="E164" s="76">
        <v>26046.95</v>
      </c>
      <c r="F164" s="50">
        <f t="shared" ref="F164:F176" si="10">E164/E163-1</f>
        <v>5.7300505240640565E-3</v>
      </c>
      <c r="H164" s="45">
        <v>46003</v>
      </c>
      <c r="I164">
        <v>2.4</v>
      </c>
      <c r="J164">
        <f t="shared" ref="J164:J176" si="11">I164/I163-1</f>
        <v>0</v>
      </c>
    </row>
    <row r="165" spans="4:10" x14ac:dyDescent="0.3">
      <c r="D165" s="45">
        <v>46006</v>
      </c>
      <c r="E165" s="76">
        <v>26027.3</v>
      </c>
      <c r="F165" s="50">
        <f t="shared" si="10"/>
        <v>-7.5440694591888402E-4</v>
      </c>
      <c r="H165" s="45">
        <v>46006</v>
      </c>
      <c r="I165">
        <v>2.35</v>
      </c>
      <c r="J165">
        <f t="shared" si="11"/>
        <v>-2.0833333333333259E-2</v>
      </c>
    </row>
    <row r="166" spans="4:10" x14ac:dyDescent="0.3">
      <c r="D166" s="45">
        <v>46007</v>
      </c>
      <c r="E166" s="76">
        <v>25860.1</v>
      </c>
      <c r="F166" s="50">
        <f t="shared" si="10"/>
        <v>-6.4240240055634112E-3</v>
      </c>
      <c r="H166" s="45">
        <v>46007</v>
      </c>
      <c r="I166">
        <v>2.39</v>
      </c>
      <c r="J166">
        <f t="shared" si="11"/>
        <v>1.7021276595744705E-2</v>
      </c>
    </row>
    <row r="167" spans="4:10" x14ac:dyDescent="0.3">
      <c r="D167" s="45">
        <v>46008</v>
      </c>
      <c r="E167" s="76">
        <v>25818.55</v>
      </c>
      <c r="F167" s="50">
        <f t="shared" si="10"/>
        <v>-1.6067223251263751E-3</v>
      </c>
      <c r="H167" s="45">
        <v>46008</v>
      </c>
      <c r="I167">
        <v>2.42</v>
      </c>
      <c r="J167">
        <f t="shared" si="11"/>
        <v>1.2552301255229992E-2</v>
      </c>
    </row>
    <row r="168" spans="4:10" x14ac:dyDescent="0.3">
      <c r="D168" s="45">
        <v>46009</v>
      </c>
      <c r="E168" s="76">
        <v>25815.55</v>
      </c>
      <c r="F168" s="50">
        <f t="shared" si="10"/>
        <v>-1.1619552608488348E-4</v>
      </c>
      <c r="H168" s="45">
        <v>46009</v>
      </c>
      <c r="I168">
        <v>2.4</v>
      </c>
      <c r="J168">
        <f t="shared" si="11"/>
        <v>-8.2644628099173278E-3</v>
      </c>
    </row>
    <row r="169" spans="4:10" x14ac:dyDescent="0.3">
      <c r="D169" s="45">
        <v>46010</v>
      </c>
      <c r="E169" s="76">
        <v>25966.400000000001</v>
      </c>
      <c r="F169" s="50">
        <f t="shared" si="10"/>
        <v>5.8433773442752024E-3</v>
      </c>
      <c r="H169" s="45">
        <v>46010</v>
      </c>
      <c r="I169">
        <v>2.44</v>
      </c>
      <c r="J169">
        <f t="shared" si="11"/>
        <v>1.6666666666666607E-2</v>
      </c>
    </row>
    <row r="170" spans="4:10" x14ac:dyDescent="0.3">
      <c r="D170" s="45">
        <v>46013</v>
      </c>
      <c r="E170" s="76">
        <v>26172.400000000001</v>
      </c>
      <c r="F170" s="50">
        <f t="shared" si="10"/>
        <v>7.9333292254606391E-3</v>
      </c>
      <c r="H170" s="45">
        <v>46013</v>
      </c>
      <c r="I170">
        <v>2.37</v>
      </c>
      <c r="J170">
        <f t="shared" si="11"/>
        <v>-2.8688524590163911E-2</v>
      </c>
    </row>
    <row r="171" spans="4:10" x14ac:dyDescent="0.3">
      <c r="D171" s="45">
        <v>46014</v>
      </c>
      <c r="E171" s="76">
        <v>26177.15</v>
      </c>
      <c r="F171" s="50">
        <f t="shared" si="10"/>
        <v>1.8148889670044355E-4</v>
      </c>
      <c r="H171" s="45">
        <v>46014</v>
      </c>
      <c r="I171">
        <v>2.38</v>
      </c>
      <c r="J171">
        <f t="shared" si="11"/>
        <v>4.2194092827003704E-3</v>
      </c>
    </row>
    <row r="172" spans="4:10" x14ac:dyDescent="0.3">
      <c r="D172" s="45">
        <v>46015</v>
      </c>
      <c r="E172" s="76">
        <v>26142.1</v>
      </c>
      <c r="F172" s="50">
        <f t="shared" si="10"/>
        <v>-1.3389540114184806E-3</v>
      </c>
      <c r="H172" s="45">
        <v>46015</v>
      </c>
      <c r="I172">
        <v>2.42</v>
      </c>
      <c r="J172">
        <f t="shared" si="11"/>
        <v>1.6806722689075571E-2</v>
      </c>
    </row>
    <row r="173" spans="4:10" x14ac:dyDescent="0.3">
      <c r="D173" s="45">
        <v>46017</v>
      </c>
      <c r="E173" s="76">
        <v>26042.3</v>
      </c>
      <c r="F173" s="50">
        <f t="shared" si="10"/>
        <v>-3.8175969030797008E-3</v>
      </c>
      <c r="H173" s="45">
        <v>46017</v>
      </c>
      <c r="I173">
        <v>2.4</v>
      </c>
      <c r="J173">
        <f t="shared" si="11"/>
        <v>-8.2644628099173278E-3</v>
      </c>
    </row>
    <row r="174" spans="4:10" x14ac:dyDescent="0.3">
      <c r="D174" s="45">
        <v>46020</v>
      </c>
      <c r="E174" s="76">
        <v>25942.1</v>
      </c>
      <c r="F174" s="50">
        <f t="shared" si="10"/>
        <v>-3.8475864266981352E-3</v>
      </c>
      <c r="H174" s="45">
        <v>46020</v>
      </c>
      <c r="I174">
        <v>2.44</v>
      </c>
      <c r="J174">
        <f t="shared" si="11"/>
        <v>1.6666666666666607E-2</v>
      </c>
    </row>
    <row r="175" spans="4:10" x14ac:dyDescent="0.3">
      <c r="D175" s="45">
        <v>46021</v>
      </c>
      <c r="E175" s="76">
        <v>25938.85</v>
      </c>
      <c r="F175" s="50">
        <f t="shared" si="10"/>
        <v>-1.2527898666647719E-4</v>
      </c>
      <c r="H175" s="45">
        <v>46021</v>
      </c>
      <c r="I175">
        <v>2.4</v>
      </c>
      <c r="J175">
        <f t="shared" si="11"/>
        <v>-1.6393442622950838E-2</v>
      </c>
    </row>
    <row r="176" spans="4:10" x14ac:dyDescent="0.3">
      <c r="D176" s="45">
        <v>46022</v>
      </c>
      <c r="E176" s="76">
        <v>26129.599999999999</v>
      </c>
      <c r="F176" s="50">
        <f t="shared" si="10"/>
        <v>7.3538341136942798E-3</v>
      </c>
      <c r="H176" s="45">
        <v>46022</v>
      </c>
      <c r="I176">
        <v>2.4</v>
      </c>
      <c r="J176">
        <f t="shared" si="11"/>
        <v>0</v>
      </c>
    </row>
  </sheetData>
  <mergeCells count="2">
    <mergeCell ref="D1:E1"/>
    <mergeCell ref="H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B1:V45"/>
  <sheetViews>
    <sheetView showGridLines="0" topLeftCell="B3" workbookViewId="0">
      <selection activeCell="E12" sqref="E12"/>
    </sheetView>
  </sheetViews>
  <sheetFormatPr defaultRowHeight="14.4" x14ac:dyDescent="0.3"/>
  <cols>
    <col min="1" max="1" width="1.88671875" customWidth="1"/>
    <col min="2" max="2" width="54.33203125" bestFit="1" customWidth="1"/>
    <col min="4" max="4" width="11.88671875" bestFit="1" customWidth="1"/>
    <col min="7" max="7" width="19.5546875" bestFit="1" customWidth="1"/>
    <col min="12" max="13" width="9.88671875" bestFit="1" customWidth="1"/>
    <col min="14" max="14" width="11.88671875" bestFit="1" customWidth="1"/>
  </cols>
  <sheetData>
    <row r="1" spans="2:14" ht="25.2" customHeight="1" x14ac:dyDescent="0.6">
      <c r="B1" s="128" t="s">
        <v>139</v>
      </c>
      <c r="C1" s="112"/>
      <c r="D1" s="112"/>
      <c r="E1" s="112"/>
      <c r="F1" s="112"/>
      <c r="G1" s="112"/>
      <c r="H1" s="112"/>
      <c r="I1" s="112"/>
      <c r="J1" s="78"/>
    </row>
    <row r="4" spans="2:14" x14ac:dyDescent="0.3">
      <c r="B4" s="131" t="s">
        <v>140</v>
      </c>
      <c r="C4" s="112"/>
      <c r="D4" s="112"/>
    </row>
    <row r="5" spans="2:14" x14ac:dyDescent="0.3">
      <c r="B5" s="64" t="s">
        <v>141</v>
      </c>
      <c r="C5" s="65"/>
      <c r="D5" s="65"/>
      <c r="E5" s="65"/>
      <c r="F5" s="65"/>
      <c r="G5" s="65"/>
      <c r="H5" s="65"/>
      <c r="I5" s="65"/>
      <c r="J5" s="65"/>
    </row>
    <row r="7" spans="2:14" x14ac:dyDescent="0.3">
      <c r="B7" s="66" t="s">
        <v>142</v>
      </c>
    </row>
    <row r="9" spans="2:14" x14ac:dyDescent="0.3">
      <c r="B9" s="20" t="s">
        <v>143</v>
      </c>
      <c r="K9" s="21" t="s">
        <v>144</v>
      </c>
      <c r="L9" s="22"/>
      <c r="M9" s="22"/>
      <c r="N9" s="22"/>
    </row>
    <row r="10" spans="2:14" x14ac:dyDescent="0.3">
      <c r="B10" s="23"/>
      <c r="C10" s="23"/>
      <c r="D10" s="23"/>
      <c r="E10" s="23"/>
      <c r="F10" s="23"/>
      <c r="G10" s="24" t="s">
        <v>145</v>
      </c>
      <c r="H10" s="24" t="s">
        <v>146</v>
      </c>
      <c r="I10" s="24" t="s">
        <v>147</v>
      </c>
      <c r="J10" s="24" t="s">
        <v>147</v>
      </c>
    </row>
    <row r="11" spans="2:14" ht="16.2" customHeight="1" x14ac:dyDescent="0.3">
      <c r="B11" s="25" t="s">
        <v>148</v>
      </c>
      <c r="C11" s="25" t="s">
        <v>149</v>
      </c>
      <c r="D11" s="25" t="s">
        <v>150</v>
      </c>
      <c r="E11" s="25" t="s">
        <v>151</v>
      </c>
      <c r="F11" s="25" t="s">
        <v>152</v>
      </c>
      <c r="G11" s="26" t="s">
        <v>153</v>
      </c>
      <c r="H11" s="26" t="s">
        <v>153</v>
      </c>
      <c r="I11" s="26" t="s">
        <v>35</v>
      </c>
      <c r="J11" s="26" t="s">
        <v>154</v>
      </c>
      <c r="K11" t="s">
        <v>155</v>
      </c>
      <c r="N11" s="27">
        <f>I12</f>
        <v>6.6042628499089429E-2</v>
      </c>
    </row>
    <row r="12" spans="2:14" x14ac:dyDescent="0.3">
      <c r="B12" s="28" t="s">
        <v>139</v>
      </c>
      <c r="C12" s="28" t="s">
        <v>156</v>
      </c>
      <c r="D12" s="29">
        <f>IFERROR(SUM('Balance Sheet'!D23),0)</f>
        <v>47400.4</v>
      </c>
      <c r="E12" s="29">
        <f>IFERROR(SUM('Balance Sheet'!D26),0)</f>
        <v>0</v>
      </c>
      <c r="F12" s="30">
        <v>0.3</v>
      </c>
      <c r="G12" s="31">
        <f>IFERROR(D12/SUM(D12:E12),0)</f>
        <v>1</v>
      </c>
      <c r="H12" s="31">
        <f>IFERROR(E12/(SUM(D12:E12)),0)</f>
        <v>0</v>
      </c>
      <c r="I12" s="31">
        <f>Q34</f>
        <v>6.6042628499089429E-2</v>
      </c>
      <c r="J12" s="31">
        <f>F42</f>
        <v>0</v>
      </c>
      <c r="K12" t="s">
        <v>157</v>
      </c>
      <c r="N12" s="32">
        <f>G12</f>
        <v>1</v>
      </c>
    </row>
    <row r="13" spans="2:14" x14ac:dyDescent="0.3">
      <c r="B13" s="33"/>
      <c r="C13" s="33"/>
      <c r="D13" s="129" t="s">
        <v>143</v>
      </c>
      <c r="E13" s="112"/>
      <c r="F13" s="34"/>
      <c r="G13" s="31"/>
      <c r="H13" s="31"/>
      <c r="I13" s="31"/>
      <c r="J13" s="35"/>
      <c r="K13" t="s">
        <v>158</v>
      </c>
      <c r="N13" s="32">
        <f>J12</f>
        <v>0</v>
      </c>
    </row>
    <row r="14" spans="2:14" ht="16.8" customHeight="1" x14ac:dyDescent="0.3">
      <c r="B14" s="133" t="s">
        <v>159</v>
      </c>
      <c r="C14" s="134"/>
      <c r="D14" s="36">
        <f>SUM(D12:E12)</f>
        <v>47400.4</v>
      </c>
      <c r="E14" s="23"/>
      <c r="F14" s="37"/>
      <c r="G14" s="38"/>
      <c r="H14" s="38"/>
      <c r="I14" s="38"/>
      <c r="J14" s="39"/>
      <c r="K14" t="s">
        <v>160</v>
      </c>
      <c r="N14" s="32">
        <f>H12</f>
        <v>0</v>
      </c>
    </row>
    <row r="15" spans="2:14" x14ac:dyDescent="0.3">
      <c r="H15" s="40"/>
      <c r="K15" s="41" t="s">
        <v>161</v>
      </c>
      <c r="L15" s="41"/>
      <c r="M15" s="41"/>
      <c r="N15" s="42">
        <f>(N11*N12)+(N13*N14)</f>
        <v>6.6042628499089429E-2</v>
      </c>
    </row>
    <row r="16" spans="2:14" x14ac:dyDescent="0.3">
      <c r="B16" s="135" t="s">
        <v>162</v>
      </c>
    </row>
    <row r="17" spans="2:22" x14ac:dyDescent="0.3">
      <c r="B17" s="136"/>
      <c r="C17" s="25"/>
      <c r="D17" s="25"/>
      <c r="E17" s="25"/>
      <c r="F17" s="25"/>
      <c r="G17" s="25"/>
      <c r="H17" s="25"/>
      <c r="I17" s="25"/>
    </row>
    <row r="18" spans="2:22" x14ac:dyDescent="0.3">
      <c r="B18" t="s">
        <v>143</v>
      </c>
      <c r="C18" s="132" t="s">
        <v>163</v>
      </c>
      <c r="D18" s="112"/>
      <c r="E18" s="112"/>
    </row>
    <row r="19" spans="2:22" x14ac:dyDescent="0.3">
      <c r="C19" s="43"/>
      <c r="D19" s="43"/>
      <c r="E19" s="43"/>
      <c r="L19" s="130" t="s">
        <v>164</v>
      </c>
      <c r="M19" s="112"/>
      <c r="N19" s="112"/>
    </row>
    <row r="20" spans="2:22" x14ac:dyDescent="0.3">
      <c r="B20" s="44" t="s">
        <v>165</v>
      </c>
      <c r="C20" s="44" t="s">
        <v>166</v>
      </c>
      <c r="D20" s="44" t="s">
        <v>167</v>
      </c>
      <c r="L20" s="44" t="s">
        <v>165</v>
      </c>
      <c r="M20" s="44" t="s">
        <v>166</v>
      </c>
      <c r="N20" s="44" t="s">
        <v>167</v>
      </c>
    </row>
    <row r="21" spans="2:22" x14ac:dyDescent="0.3">
      <c r="B21" s="45">
        <v>42508</v>
      </c>
      <c r="C21" s="73">
        <v>7870.15</v>
      </c>
      <c r="D21" s="29"/>
      <c r="E21" s="29"/>
      <c r="F21" s="47" t="s">
        <v>168</v>
      </c>
      <c r="G21" s="47"/>
      <c r="H21" s="48">
        <f>AVERAGE(D22:D30)</f>
        <v>0.15973164996490874</v>
      </c>
      <c r="I21" s="48">
        <f>MEDIAN(D22:D30)</f>
        <v>0.11637623152709353</v>
      </c>
      <c r="J21" s="48"/>
      <c r="K21" s="45"/>
      <c r="L21" s="45">
        <v>42508</v>
      </c>
      <c r="M21" s="46">
        <v>91.45</v>
      </c>
      <c r="P21" s="47" t="s">
        <v>168</v>
      </c>
      <c r="Q21" s="47"/>
      <c r="R21" s="48">
        <f>AVERAGE(N22:N30)</f>
        <v>4.2694611495924857E-2</v>
      </c>
    </row>
    <row r="22" spans="2:22" x14ac:dyDescent="0.3">
      <c r="B22" s="45">
        <v>42873</v>
      </c>
      <c r="C22" s="73">
        <v>9429.4500000000007</v>
      </c>
      <c r="D22" s="29">
        <f t="shared" ref="D22:D30" si="0">C22/C21-1</f>
        <v>0.19812837112380333</v>
      </c>
      <c r="E22" s="29"/>
      <c r="F22" s="47" t="s">
        <v>169</v>
      </c>
      <c r="G22" s="74">
        <f>_xlfn.RRI(10,C21,C30)</f>
        <v>0.12227899169107537</v>
      </c>
      <c r="H22" s="49"/>
      <c r="I22" s="47"/>
      <c r="J22" s="47"/>
      <c r="L22" s="45">
        <v>42873</v>
      </c>
      <c r="M22" s="46">
        <v>90.7</v>
      </c>
      <c r="N22" s="50">
        <f t="shared" ref="N22:N30" si="1">M22/M21-1</f>
        <v>-8.201202843083677E-3</v>
      </c>
      <c r="P22" s="47"/>
      <c r="Q22" s="47"/>
      <c r="R22" s="49"/>
    </row>
    <row r="23" spans="2:22" x14ac:dyDescent="0.3">
      <c r="B23" s="45">
        <v>43238</v>
      </c>
      <c r="C23" s="73">
        <v>10596.4</v>
      </c>
      <c r="D23" s="29">
        <f t="shared" si="0"/>
        <v>0.1237558924433555</v>
      </c>
      <c r="E23" s="29"/>
      <c r="F23" s="47" t="s">
        <v>170</v>
      </c>
      <c r="G23" s="47"/>
      <c r="H23" s="48">
        <f>H21</f>
        <v>0.15973164996490874</v>
      </c>
      <c r="I23" s="47"/>
      <c r="J23" s="47"/>
      <c r="L23" s="45">
        <v>43238</v>
      </c>
      <c r="M23" s="46">
        <v>28.3</v>
      </c>
      <c r="N23" s="50">
        <f t="shared" si="1"/>
        <v>-0.6879823594266814</v>
      </c>
      <c r="P23" s="47" t="s">
        <v>170</v>
      </c>
      <c r="Q23" s="47"/>
      <c r="R23" s="48">
        <f>R21</f>
        <v>4.2694611495924857E-2</v>
      </c>
    </row>
    <row r="24" spans="2:22" ht="15.6" customHeight="1" x14ac:dyDescent="0.3">
      <c r="B24" s="45">
        <v>43605</v>
      </c>
      <c r="C24" s="73">
        <v>11828.25</v>
      </c>
      <c r="D24" s="29">
        <f t="shared" si="0"/>
        <v>0.11625174587595799</v>
      </c>
      <c r="E24" s="29"/>
      <c r="F24" s="29"/>
      <c r="H24" s="29"/>
      <c r="L24" s="45">
        <v>43605</v>
      </c>
      <c r="M24" s="46">
        <v>21.9</v>
      </c>
      <c r="N24" s="50">
        <f t="shared" si="1"/>
        <v>-0.22614840989399299</v>
      </c>
      <c r="P24" s="51" t="s">
        <v>171</v>
      </c>
      <c r="Q24" s="52">
        <f>Beta!O8</f>
        <v>3.8349301761844382E-2</v>
      </c>
      <c r="R24" s="51"/>
    </row>
    <row r="25" spans="2:22" ht="15.6" customHeight="1" x14ac:dyDescent="0.3">
      <c r="B25" s="45">
        <v>43969</v>
      </c>
      <c r="C25" s="73">
        <v>8823.25</v>
      </c>
      <c r="D25" s="29">
        <f t="shared" si="0"/>
        <v>-0.25405279732842978</v>
      </c>
      <c r="E25" s="29"/>
      <c r="F25" s="29"/>
      <c r="H25" s="29"/>
      <c r="L25" s="45">
        <v>43969</v>
      </c>
      <c r="M25" s="46">
        <v>1.6</v>
      </c>
      <c r="N25" s="50">
        <f t="shared" si="1"/>
        <v>-0.9269406392694064</v>
      </c>
      <c r="P25" s="52">
        <f>_xlfn.COVARIANCE.S(N22:N30,D22:D30)/_xlfn.VAR.S(D22:D30)</f>
        <v>3.1987486113983388</v>
      </c>
      <c r="Q25" s="51" t="s">
        <v>172</v>
      </c>
      <c r="R25" s="51" t="s">
        <v>173</v>
      </c>
    </row>
    <row r="26" spans="2:22" x14ac:dyDescent="0.3">
      <c r="B26" s="45">
        <v>44334</v>
      </c>
      <c r="C26" s="73">
        <v>15108.1</v>
      </c>
      <c r="D26" s="29">
        <f t="shared" si="0"/>
        <v>0.7123055563426175</v>
      </c>
      <c r="E26" s="29"/>
      <c r="F26" s="29"/>
      <c r="I26" s="53"/>
      <c r="L26" s="45">
        <v>44334</v>
      </c>
      <c r="M26" s="46">
        <v>4.75</v>
      </c>
      <c r="N26" s="50">
        <f t="shared" si="1"/>
        <v>1.96875</v>
      </c>
      <c r="P26" s="52">
        <f>SLOPE(N22:N30,D22:D30)</f>
        <v>3.1987486113983374</v>
      </c>
      <c r="Q26" s="51"/>
      <c r="R26" s="51" t="s">
        <v>174</v>
      </c>
    </row>
    <row r="27" spans="2:22" x14ac:dyDescent="0.3">
      <c r="B27" s="45">
        <v>44699</v>
      </c>
      <c r="C27" s="73">
        <v>16240</v>
      </c>
      <c r="D27" s="29">
        <f t="shared" si="0"/>
        <v>7.4920075985729584E-2</v>
      </c>
      <c r="E27" s="29"/>
      <c r="F27" s="54"/>
      <c r="L27" s="45">
        <v>44699</v>
      </c>
      <c r="M27" s="46">
        <v>6.05</v>
      </c>
      <c r="N27" s="50">
        <f t="shared" si="1"/>
        <v>0.27368421052631575</v>
      </c>
    </row>
    <row r="28" spans="2:22" x14ac:dyDescent="0.3">
      <c r="B28" s="45">
        <v>45064</v>
      </c>
      <c r="C28" s="73">
        <v>18129.95</v>
      </c>
      <c r="D28" s="29">
        <f t="shared" si="0"/>
        <v>0.11637623152709353</v>
      </c>
      <c r="E28" s="29"/>
      <c r="F28" s="29"/>
      <c r="I28" s="47"/>
      <c r="L28" s="45">
        <v>45068</v>
      </c>
      <c r="M28" s="46">
        <v>2.4500000000000002</v>
      </c>
      <c r="N28" s="50">
        <f t="shared" si="1"/>
        <v>-0.5950413223140496</v>
      </c>
    </row>
    <row r="29" spans="2:22" x14ac:dyDescent="0.3">
      <c r="B29" s="45">
        <v>45433</v>
      </c>
      <c r="C29" s="73">
        <v>22529.05</v>
      </c>
      <c r="D29" s="29">
        <f t="shared" si="0"/>
        <v>0.24264269895945656</v>
      </c>
      <c r="E29" s="29"/>
      <c r="F29" s="29"/>
      <c r="L29" s="45">
        <v>45433</v>
      </c>
      <c r="M29" s="46">
        <v>4.6500000000000004</v>
      </c>
      <c r="N29" s="50">
        <f t="shared" si="1"/>
        <v>0.8979591836734695</v>
      </c>
    </row>
    <row r="30" spans="2:22" ht="15.6" customHeight="1" x14ac:dyDescent="0.3">
      <c r="B30" s="45">
        <v>45796</v>
      </c>
      <c r="C30" s="73">
        <v>24945.45</v>
      </c>
      <c r="D30" s="29">
        <f t="shared" si="0"/>
        <v>0.10725707475459467</v>
      </c>
      <c r="E30" s="29"/>
      <c r="F30" s="29"/>
      <c r="L30" s="45">
        <v>45796</v>
      </c>
      <c r="M30" s="46">
        <v>3.2</v>
      </c>
      <c r="N30" s="50">
        <f t="shared" si="1"/>
        <v>-0.31182795698924737</v>
      </c>
      <c r="P30" s="69">
        <v>6.3799999999999996E-2</v>
      </c>
      <c r="Q30" s="55" t="s">
        <v>175</v>
      </c>
      <c r="R30" s="56" t="s">
        <v>176</v>
      </c>
      <c r="S30" s="57"/>
      <c r="T30" s="57"/>
      <c r="U30" s="57"/>
      <c r="V30" s="57"/>
    </row>
    <row r="31" spans="2:22" ht="15.6" customHeight="1" x14ac:dyDescent="0.3">
      <c r="B31" s="58" t="s">
        <v>176</v>
      </c>
      <c r="C31" s="58" t="s">
        <v>175</v>
      </c>
      <c r="P31" s="67">
        <f>Q24</f>
        <v>3.8349301761844382E-2</v>
      </c>
      <c r="Q31" s="52" t="str">
        <f>Q25</f>
        <v>Beta1</v>
      </c>
      <c r="R31" s="51"/>
    </row>
    <row r="32" spans="2:22" ht="24.6" customHeight="1" x14ac:dyDescent="0.55000000000000004">
      <c r="B32" s="58" t="s">
        <v>177</v>
      </c>
      <c r="C32" s="58" t="str">
        <f>C18</f>
        <v>Nifty 50</v>
      </c>
      <c r="D32" s="70" t="s">
        <v>178</v>
      </c>
      <c r="P32" s="68">
        <f>G22</f>
        <v>0.12227899169107537</v>
      </c>
      <c r="Q32" s="51" t="s">
        <v>179</v>
      </c>
      <c r="R32" s="51"/>
    </row>
    <row r="33" spans="2:18" x14ac:dyDescent="0.3">
      <c r="B33" s="58" t="s">
        <v>180</v>
      </c>
      <c r="C33" s="58" t="str">
        <f>L19</f>
        <v>HDIL</v>
      </c>
      <c r="D33" s="70" t="s">
        <v>178</v>
      </c>
      <c r="P33" s="51"/>
      <c r="Q33" s="51"/>
      <c r="R33" s="51"/>
    </row>
    <row r="34" spans="2:18" ht="15.6" customHeight="1" x14ac:dyDescent="0.3">
      <c r="P34" s="51" t="s">
        <v>181</v>
      </c>
      <c r="Q34" s="55">
        <f>P30+P31*(P32-P30)</f>
        <v>6.6042628499089429E-2</v>
      </c>
      <c r="R34" s="72" t="s">
        <v>182</v>
      </c>
    </row>
    <row r="35" spans="2:18" x14ac:dyDescent="0.3">
      <c r="Q35" s="59" t="s">
        <v>143</v>
      </c>
    </row>
    <row r="36" spans="2:18" ht="15.6" customHeight="1" x14ac:dyDescent="0.3">
      <c r="B36" s="129" t="s">
        <v>183</v>
      </c>
      <c r="C36" s="112"/>
      <c r="D36" s="112"/>
      <c r="G36" t="s">
        <v>143</v>
      </c>
      <c r="M36" s="45"/>
    </row>
    <row r="37" spans="2:18" x14ac:dyDescent="0.3">
      <c r="K37" s="45"/>
      <c r="M37" s="45"/>
    </row>
    <row r="38" spans="2:18" x14ac:dyDescent="0.3">
      <c r="C38" s="60" t="s">
        <v>158</v>
      </c>
      <c r="D38" s="25"/>
      <c r="E38" s="25"/>
      <c r="F38" s="25"/>
      <c r="G38" s="25" t="s">
        <v>184</v>
      </c>
      <c r="H38" s="25"/>
      <c r="I38" s="25"/>
      <c r="M38" s="45"/>
    </row>
    <row r="39" spans="2:18" x14ac:dyDescent="0.3">
      <c r="M39" s="45"/>
    </row>
    <row r="40" spans="2:18" x14ac:dyDescent="0.3">
      <c r="C40" t="s">
        <v>185</v>
      </c>
      <c r="F40" s="61">
        <f>I40</f>
        <v>0</v>
      </c>
      <c r="H40" t="s">
        <v>186</v>
      </c>
      <c r="I40" s="61">
        <f>IFERROR('[1]Data Sheet'!K2,0)</f>
        <v>0</v>
      </c>
      <c r="M40" s="45"/>
    </row>
    <row r="41" spans="2:18" x14ac:dyDescent="0.3">
      <c r="C41" t="s">
        <v>187</v>
      </c>
      <c r="F41" s="32">
        <f>F12</f>
        <v>0.3</v>
      </c>
      <c r="M41" s="45"/>
    </row>
    <row r="42" spans="2:18" x14ac:dyDescent="0.3">
      <c r="C42" s="62" t="s">
        <v>188</v>
      </c>
      <c r="D42" s="62"/>
      <c r="E42" s="62"/>
      <c r="F42" s="63">
        <f>F40*(1-F41)</f>
        <v>0</v>
      </c>
      <c r="M42" s="45"/>
    </row>
    <row r="43" spans="2:18" x14ac:dyDescent="0.3">
      <c r="M43" s="45"/>
    </row>
    <row r="44" spans="2:18" x14ac:dyDescent="0.3">
      <c r="M44" s="45"/>
    </row>
    <row r="45" spans="2:18" x14ac:dyDescent="0.3">
      <c r="M45" s="45"/>
    </row>
  </sheetData>
  <mergeCells count="8">
    <mergeCell ref="B1:I1"/>
    <mergeCell ref="B36:D36"/>
    <mergeCell ref="D13:E13"/>
    <mergeCell ref="L19:N19"/>
    <mergeCell ref="B4:D4"/>
    <mergeCell ref="C18:E18"/>
    <mergeCell ref="B14:C14"/>
    <mergeCell ref="B16:B17"/>
  </mergeCells>
  <hyperlinks>
    <hyperlink ref="R30" r:id="rId1" xr:uid="{00000000-0004-0000-03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BE6F-FDFD-403B-B6A8-DA4C6BE6BAD4}">
  <dimension ref="B1:L38"/>
  <sheetViews>
    <sheetView tabSelected="1" topLeftCell="B4" zoomScale="104" workbookViewId="0">
      <selection activeCell="C13" sqref="C13"/>
    </sheetView>
  </sheetViews>
  <sheetFormatPr defaultRowHeight="14.4" x14ac:dyDescent="0.3"/>
  <cols>
    <col min="1" max="1" width="1.88671875" customWidth="1"/>
    <col min="2" max="2" width="30" bestFit="1" customWidth="1"/>
    <col min="3" max="4" width="11.88671875" bestFit="1" customWidth="1"/>
    <col min="9" max="9" width="5.21875" bestFit="1" customWidth="1"/>
  </cols>
  <sheetData>
    <row r="1" spans="2:12" ht="25.2" x14ac:dyDescent="0.6">
      <c r="B1" s="128" t="s">
        <v>426</v>
      </c>
      <c r="C1" s="128"/>
      <c r="D1" s="128"/>
      <c r="E1" s="128"/>
      <c r="F1" s="128"/>
      <c r="G1" s="128"/>
      <c r="H1" s="128"/>
      <c r="I1" s="128"/>
      <c r="J1" s="128"/>
      <c r="K1" s="128"/>
      <c r="L1" s="128"/>
    </row>
    <row r="2" spans="2:12" x14ac:dyDescent="0.3">
      <c r="B2" s="100" t="s">
        <v>427</v>
      </c>
      <c r="C2" s="101"/>
      <c r="D2" s="101"/>
      <c r="E2" s="101"/>
      <c r="F2" s="101"/>
      <c r="G2" s="101"/>
      <c r="H2" s="101"/>
      <c r="I2" s="101"/>
      <c r="J2" s="101"/>
      <c r="K2" s="101"/>
      <c r="L2" s="101"/>
    </row>
    <row r="3" spans="2:12" x14ac:dyDescent="0.3">
      <c r="B3" s="99"/>
      <c r="C3" s="99"/>
      <c r="D3" s="99"/>
      <c r="E3" s="99"/>
      <c r="F3" s="99" t="s">
        <v>428</v>
      </c>
      <c r="G3" s="99"/>
      <c r="H3" s="99"/>
      <c r="I3" s="99"/>
      <c r="J3" s="99"/>
      <c r="K3" s="99"/>
      <c r="L3" s="99"/>
    </row>
    <row r="4" spans="2:12" x14ac:dyDescent="0.3">
      <c r="B4" s="99"/>
      <c r="C4" s="99"/>
      <c r="D4" s="99"/>
      <c r="E4" s="99" t="str">
        <f>INDEX(H5:H8,MATCH(F4,I5:I8,0))</f>
        <v>MONTH</v>
      </c>
      <c r="F4" s="99">
        <v>30</v>
      </c>
      <c r="G4" s="99"/>
      <c r="H4" s="99"/>
      <c r="I4" s="99" t="s">
        <v>428</v>
      </c>
      <c r="J4" s="99"/>
      <c r="K4" s="99"/>
      <c r="L4" s="99"/>
    </row>
    <row r="5" spans="2:12" ht="15.6" x14ac:dyDescent="0.3">
      <c r="B5" s="102" t="s">
        <v>3</v>
      </c>
      <c r="C5" s="103" t="s">
        <v>429</v>
      </c>
      <c r="D5" s="103" t="s">
        <v>430</v>
      </c>
      <c r="E5" s="99"/>
      <c r="F5" s="99"/>
      <c r="G5" s="99"/>
      <c r="H5" s="99" t="s">
        <v>431</v>
      </c>
      <c r="I5" s="99">
        <v>30</v>
      </c>
      <c r="J5" s="99"/>
      <c r="K5" s="99"/>
      <c r="L5" s="99"/>
    </row>
    <row r="6" spans="2:12" x14ac:dyDescent="0.3">
      <c r="B6" s="104" t="s">
        <v>432</v>
      </c>
      <c r="C6" s="105">
        <f>IFERROR('Profit &amp; Loss'!D5,0)</f>
        <v>3395.61</v>
      </c>
      <c r="D6" s="105">
        <f>IFERROR('Profit &amp; Loss'!E5,0)</f>
        <v>204.59</v>
      </c>
      <c r="E6" s="99"/>
      <c r="F6" s="99"/>
      <c r="G6" s="99"/>
      <c r="H6" s="99" t="s">
        <v>433</v>
      </c>
      <c r="I6" s="99">
        <v>90</v>
      </c>
      <c r="J6" s="99"/>
      <c r="K6" s="99"/>
      <c r="L6" s="99"/>
    </row>
    <row r="7" spans="2:12" x14ac:dyDescent="0.3">
      <c r="B7" s="104" t="s">
        <v>434</v>
      </c>
      <c r="C7" s="105">
        <f>-IFERROR((C32+C33)*-1,0)</f>
        <v>27273</v>
      </c>
      <c r="D7" s="105">
        <f>-IFERROR((D32+D33)*-1,0)</f>
        <v>-7620</v>
      </c>
      <c r="E7" s="99"/>
      <c r="F7" s="99"/>
      <c r="G7" s="99"/>
      <c r="H7" s="99" t="s">
        <v>435</v>
      </c>
      <c r="I7" s="99">
        <v>180</v>
      </c>
      <c r="J7" s="107" t="s">
        <v>446</v>
      </c>
      <c r="K7" s="99"/>
      <c r="L7" s="99"/>
    </row>
    <row r="8" spans="2:12" x14ac:dyDescent="0.3">
      <c r="B8" s="104" t="s">
        <v>436</v>
      </c>
      <c r="C8" s="29">
        <f>IFERROR(SUM('Balance Sheet'!D14:D15),0)</f>
        <v>1650.57</v>
      </c>
      <c r="D8" s="29">
        <f>IFERROR(SUM('Balance Sheet'!E14:E15),0)</f>
        <v>1701.75</v>
      </c>
      <c r="E8" s="99"/>
      <c r="F8" s="99"/>
      <c r="G8" s="99"/>
      <c r="H8" s="99" t="s">
        <v>437</v>
      </c>
      <c r="I8" s="99">
        <v>360</v>
      </c>
      <c r="J8" s="99"/>
      <c r="K8" s="99"/>
      <c r="L8" s="99"/>
    </row>
    <row r="9" spans="2:12" x14ac:dyDescent="0.3">
      <c r="B9" s="104" t="s">
        <v>18</v>
      </c>
      <c r="C9" s="105">
        <f>IFERROR('Balance Sheet'!D11,0)</f>
        <v>281468.68</v>
      </c>
      <c r="D9" s="105">
        <f>IFERROR('Balance Sheet'!E11,0)</f>
        <v>283744.03999999998</v>
      </c>
      <c r="E9" s="99"/>
      <c r="F9" s="99"/>
      <c r="G9" s="99"/>
      <c r="H9" s="99"/>
      <c r="I9" s="99"/>
      <c r="J9" s="99"/>
      <c r="K9" s="99"/>
      <c r="L9" s="99"/>
    </row>
    <row r="10" spans="2:12" x14ac:dyDescent="0.3">
      <c r="B10" s="104" t="s">
        <v>22</v>
      </c>
      <c r="C10" s="105">
        <f>IFERROR('Balance Sheet'!D13,0)</f>
        <v>40633.99</v>
      </c>
      <c r="D10" s="105">
        <f>IFERROR('Balance Sheet'!E13,0)</f>
        <v>39871.230000000003</v>
      </c>
      <c r="E10" s="99"/>
      <c r="F10" s="99"/>
      <c r="G10" s="99"/>
      <c r="H10" s="99"/>
      <c r="I10" s="99"/>
      <c r="J10" s="99"/>
      <c r="K10" s="99"/>
      <c r="L10" s="99"/>
    </row>
    <row r="11" spans="2:12" x14ac:dyDescent="0.3">
      <c r="B11" s="104" t="s">
        <v>438</v>
      </c>
      <c r="C11" s="105">
        <f>IFERROR('Balance Sheet'!D30,0)</f>
        <v>41840.14</v>
      </c>
      <c r="D11" s="105">
        <f>IFERROR('Balance Sheet'!E30,0)</f>
        <v>41749.35</v>
      </c>
      <c r="E11" s="99"/>
      <c r="F11" s="99"/>
      <c r="G11" s="99"/>
      <c r="H11" s="99"/>
      <c r="I11" s="99"/>
      <c r="J11" s="99"/>
      <c r="K11" s="99"/>
      <c r="L11" s="99"/>
    </row>
    <row r="12" spans="2:12" x14ac:dyDescent="0.3">
      <c r="B12" s="99"/>
      <c r="C12" s="99"/>
      <c r="D12" s="99"/>
      <c r="E12" s="99"/>
      <c r="F12" s="99"/>
      <c r="G12" s="99"/>
      <c r="H12" s="99"/>
      <c r="I12" s="99"/>
      <c r="J12" s="99"/>
      <c r="K12" s="99"/>
      <c r="L12" s="99"/>
    </row>
    <row r="13" spans="2:12" x14ac:dyDescent="0.3">
      <c r="B13" s="99" t="s">
        <v>439</v>
      </c>
      <c r="C13" s="50">
        <f>IFERROR((C10/C6)*$F$4,0)</f>
        <v>358.99873660402693</v>
      </c>
      <c r="D13" s="50">
        <f>IFERROR((D10/D6)*$F$4,0)</f>
        <v>5846.5071606627889</v>
      </c>
      <c r="E13" s="99" t="s">
        <v>143</v>
      </c>
      <c r="F13" s="99"/>
      <c r="G13" s="99"/>
      <c r="H13" s="99"/>
      <c r="I13" s="99"/>
      <c r="J13" s="99"/>
      <c r="K13" s="99"/>
      <c r="L13" s="99"/>
    </row>
    <row r="14" spans="2:12" x14ac:dyDescent="0.3">
      <c r="B14" s="99" t="s">
        <v>440</v>
      </c>
      <c r="C14" s="50">
        <f>IFERROR((C11/C6)*$F$4,0)</f>
        <v>369.65499571505563</v>
      </c>
      <c r="D14" s="50">
        <f>IFERROR((D11/D6)*$F$4,0)</f>
        <v>6121.9047851801151</v>
      </c>
      <c r="E14" s="99"/>
      <c r="F14" s="99"/>
      <c r="G14" s="99"/>
      <c r="H14" s="99"/>
      <c r="I14" s="99"/>
      <c r="J14" s="99"/>
      <c r="K14" s="99"/>
      <c r="L14" s="99"/>
    </row>
    <row r="15" spans="2:12" x14ac:dyDescent="0.3">
      <c r="B15" s="99" t="s">
        <v>441</v>
      </c>
      <c r="C15" s="50">
        <f>IFERROR((C9/C7)*$F$4,0)</f>
        <v>309.61245187548121</v>
      </c>
      <c r="D15" s="50">
        <f>IFERROR((D9/D7)*$F$4,0)</f>
        <v>-1117.1025196850394</v>
      </c>
      <c r="E15" s="99"/>
      <c r="F15" s="99"/>
      <c r="G15" s="99"/>
      <c r="H15" s="99"/>
      <c r="I15" s="99"/>
      <c r="J15" s="99"/>
      <c r="K15" s="99"/>
      <c r="L15" s="99"/>
    </row>
    <row r="16" spans="2:12" x14ac:dyDescent="0.3">
      <c r="B16" s="99"/>
      <c r="C16" s="99"/>
      <c r="D16" s="99"/>
      <c r="E16" s="99"/>
      <c r="F16" s="99"/>
      <c r="G16" s="99"/>
      <c r="H16" s="99"/>
      <c r="I16" s="99"/>
      <c r="J16" s="99"/>
      <c r="K16" s="99"/>
      <c r="L16" s="99"/>
    </row>
    <row r="17" spans="2:12" x14ac:dyDescent="0.3">
      <c r="B17" s="99" t="s">
        <v>442</v>
      </c>
      <c r="C17" s="99"/>
      <c r="D17" s="99"/>
      <c r="E17" s="99"/>
      <c r="F17" s="99"/>
      <c r="G17" s="99"/>
      <c r="H17" s="99"/>
      <c r="I17" s="99"/>
      <c r="J17" s="99"/>
      <c r="K17" s="99"/>
      <c r="L17" s="99"/>
    </row>
    <row r="18" spans="2:12" x14ac:dyDescent="0.3">
      <c r="B18" s="99" t="s">
        <v>443</v>
      </c>
      <c r="C18" s="105">
        <f>IFERROR(SUM(C8:C10)-C11,0)</f>
        <v>281913.09999999998</v>
      </c>
      <c r="D18" s="105">
        <f>IFERROR(SUM(D8:D10)-D11,0)</f>
        <v>283567.67</v>
      </c>
      <c r="E18" s="99"/>
      <c r="F18" s="106" t="s">
        <v>444</v>
      </c>
      <c r="G18" s="99"/>
      <c r="H18" s="99"/>
      <c r="I18" s="99"/>
      <c r="J18" s="99"/>
      <c r="K18" s="99"/>
      <c r="L18" s="99"/>
    </row>
    <row r="19" spans="2:12" x14ac:dyDescent="0.3">
      <c r="B19" s="99"/>
      <c r="C19" s="99"/>
      <c r="D19" s="99"/>
      <c r="E19" s="99"/>
      <c r="F19" s="106" t="s">
        <v>445</v>
      </c>
      <c r="G19" s="99"/>
      <c r="H19" s="99"/>
      <c r="I19" s="99"/>
      <c r="J19" s="99"/>
      <c r="K19" s="99"/>
      <c r="L19" s="99"/>
    </row>
    <row r="29" spans="2:12" x14ac:dyDescent="0.3">
      <c r="B29" s="108" t="s">
        <v>447</v>
      </c>
      <c r="C29" s="108" t="s">
        <v>448</v>
      </c>
      <c r="D29" s="108" t="s">
        <v>449</v>
      </c>
      <c r="E29" s="108"/>
      <c r="F29" s="108"/>
      <c r="G29" s="108"/>
    </row>
    <row r="30" spans="2:12" x14ac:dyDescent="0.3">
      <c r="B30" s="109" t="s">
        <v>450</v>
      </c>
      <c r="C30" s="109">
        <v>0</v>
      </c>
      <c r="D30" s="109">
        <v>0</v>
      </c>
      <c r="E30" s="109"/>
      <c r="F30" s="109"/>
      <c r="G30" s="109"/>
    </row>
    <row r="31" spans="2:12" x14ac:dyDescent="0.3">
      <c r="B31" s="109" t="s">
        <v>451</v>
      </c>
      <c r="C31" s="109">
        <v>0</v>
      </c>
      <c r="D31" s="109">
        <v>0</v>
      </c>
      <c r="E31" s="109"/>
      <c r="F31" s="109"/>
      <c r="G31" s="109"/>
    </row>
    <row r="32" spans="2:12" x14ac:dyDescent="0.3">
      <c r="B32" s="109" t="s">
        <v>452</v>
      </c>
      <c r="C32" s="110">
        <v>22062</v>
      </c>
      <c r="D32" s="110">
        <v>42309</v>
      </c>
      <c r="E32" s="110"/>
      <c r="F32" s="110"/>
      <c r="G32" s="110"/>
    </row>
    <row r="33" spans="2:7" x14ac:dyDescent="0.3">
      <c r="B33" s="109" t="s">
        <v>453</v>
      </c>
      <c r="C33" s="110">
        <v>5211</v>
      </c>
      <c r="D33" s="110">
        <v>-49929</v>
      </c>
      <c r="E33" s="110"/>
      <c r="F33" s="110"/>
      <c r="G33" s="110"/>
    </row>
    <row r="34" spans="2:7" x14ac:dyDescent="0.3">
      <c r="B34" s="109" t="s">
        <v>454</v>
      </c>
      <c r="C34" s="110">
        <v>2294</v>
      </c>
      <c r="D34" s="110">
        <v>3160</v>
      </c>
      <c r="E34" s="110"/>
      <c r="F34" s="110"/>
      <c r="G34" s="110"/>
    </row>
    <row r="35" spans="2:7" x14ac:dyDescent="0.3">
      <c r="B35" s="109" t="s">
        <v>455</v>
      </c>
      <c r="C35" s="110">
        <v>28063</v>
      </c>
      <c r="D35" s="110">
        <v>34918</v>
      </c>
      <c r="E35" s="110"/>
      <c r="F35" s="110"/>
      <c r="G35" s="110"/>
    </row>
    <row r="36" spans="2:7" x14ac:dyDescent="0.3">
      <c r="B36" s="109" t="s">
        <v>456</v>
      </c>
      <c r="C36" s="109">
        <v>541</v>
      </c>
      <c r="D36" s="109">
        <v>683</v>
      </c>
      <c r="E36" s="109"/>
      <c r="F36" s="109"/>
      <c r="G36" s="110"/>
    </row>
    <row r="37" spans="2:7" x14ac:dyDescent="0.3">
      <c r="B37" s="109" t="s">
        <v>384</v>
      </c>
      <c r="C37" s="110">
        <v>2363</v>
      </c>
      <c r="D37" s="110">
        <v>2977</v>
      </c>
    </row>
    <row r="38" spans="2:7" ht="28.8" x14ac:dyDescent="0.3">
      <c r="B38" s="109" t="s">
        <v>457</v>
      </c>
    </row>
  </sheetData>
  <mergeCells count="1">
    <mergeCell ref="B1:L1"/>
  </mergeCells>
  <dataValidations count="1">
    <dataValidation type="list" allowBlank="1" showInputMessage="1" showErrorMessage="1" sqref="F4" xr:uid="{0E1EB975-54B6-456B-B418-DA1E6231DDEE}">
      <formula1>$I$5:$I$8</formula1>
    </dataValidation>
  </dataValidations>
  <pageMargins left="0.7" right="0.7" top="0.75" bottom="0.75" header="0.3" footer="0.3"/>
  <ignoredErrors>
    <ignoredError sqref="C8:D8"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Balance Sheet</vt:lpstr>
      <vt:lpstr>Profit &amp; Loss</vt:lpstr>
      <vt:lpstr>Cash Flow</vt:lpstr>
      <vt:lpstr>Notes to Accounts</vt:lpstr>
      <vt:lpstr>Beta</vt:lpstr>
      <vt:lpstr>WACC</vt:lpstr>
      <vt:lpstr>wc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prashant THAKUR</cp:lastModifiedBy>
  <cp:revision>0</cp:revision>
  <dcterms:created xsi:type="dcterms:W3CDTF">2026-03-23T19:02:19Z</dcterms:created>
  <dcterms:modified xsi:type="dcterms:W3CDTF">2026-08-31T19:23:24Z</dcterms:modified>
  <dc:language>en-US</dc:language>
</cp:coreProperties>
</file>